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6"/>
  <workbookPr filterPrivacy="1"/>
  <xr:revisionPtr revIDLastSave="67" documentId="8_{E7854A5A-9DE9-4F54-84D8-3C3BA0783766}" xr6:coauthVersionLast="47" xr6:coauthVersionMax="47" xr10:uidLastSave="{EE0C23F4-BA38-44B0-AF3C-24DE0F079F68}"/>
  <bookViews>
    <workbookView xWindow="-108" yWindow="-108" windowWidth="23256" windowHeight="12720" xr2:uid="{00000000-000D-0000-FFFF-FFFF00000000}"/>
  </bookViews>
  <sheets>
    <sheet name="Weekly task schedule" sheetId="1" r:id="rId1"/>
    <sheet name="Task list" sheetId="2" state="hidden" r:id="rId2"/>
  </sheets>
  <definedNames>
    <definedName name="Classes">TaskSchedule[[#All],[Person]]</definedName>
    <definedName name="ColumnTitle2">TaskList[[#Headers],[Date]]</definedName>
    <definedName name="_xlnm.Print_Titles" localSheetId="1">'Task list'!$4:$4</definedName>
    <definedName name="_xlnm.Print_Titles" localSheetId="0">'Weekly task schedule'!$5:$5</definedName>
    <definedName name="RowTitleRegion1..I3">'Weekly task schedule'!$I$2</definedName>
    <definedName name="StartDate">'Weekly task schedule'!$E$10</definedName>
    <definedName name="Title1">TaskSchedule[[#All],[Person]]</definedName>
    <definedName name="WhoField">TaskList[Person(s)]</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1" l="1"/>
  <c r="K20" i="1"/>
  <c r="K21" i="1"/>
  <c r="K22" i="1"/>
  <c r="K23" i="1"/>
  <c r="K17" i="1"/>
  <c r="L9" i="1"/>
  <c r="K9" i="1"/>
  <c r="K16" i="1"/>
  <c r="K15" i="1"/>
  <c r="K14" i="1"/>
  <c r="M22" i="1"/>
  <c r="M21" i="1"/>
  <c r="M20" i="1"/>
  <c r="M23" i="1" s="1"/>
  <c r="D18" i="1"/>
  <c r="D4" i="1"/>
  <c r="B10" i="2"/>
  <c r="B11" i="2"/>
  <c r="B12" i="2"/>
  <c r="D12" i="1" l="1"/>
  <c r="E12" i="1"/>
  <c r="E18" i="1"/>
  <c r="F18" i="1" s="1"/>
  <c r="G18" i="1" s="1"/>
  <c r="H18" i="1" s="1"/>
  <c r="I18" i="1" s="1"/>
  <c r="J18" i="1" s="1"/>
  <c r="B18" i="1"/>
  <c r="F12" i="1"/>
  <c r="G12" i="1" s="1"/>
  <c r="H12" i="1" s="1"/>
  <c r="I12" i="1" s="1"/>
  <c r="J12" i="1" s="1"/>
  <c r="B12" i="1"/>
  <c r="B6" i="2"/>
  <c r="B13" i="2" l="1"/>
  <c r="B9" i="2"/>
  <c r="B8" i="2"/>
  <c r="B7" i="2"/>
  <c r="B5" i="2"/>
  <c r="E5" i="2" s="1"/>
  <c r="E4" i="1" l="1"/>
  <c r="F4" i="1" l="1"/>
  <c r="E8" i="2"/>
  <c r="E11" i="2"/>
  <c r="E12" i="2"/>
  <c r="E6" i="2"/>
  <c r="E9" i="2"/>
  <c r="E7" i="2"/>
  <c r="E10" i="2"/>
  <c r="E13" i="2"/>
  <c r="G4" i="1" l="1"/>
  <c r="H4" i="1" l="1"/>
  <c r="I4" i="1" l="1"/>
  <c r="J4" i="1" l="1"/>
  <c r="M6" i="1" l="1"/>
  <c r="M7" i="1"/>
  <c r="M9" i="1" l="1"/>
  <c r="M16" i="1"/>
  <c r="M15" i="1"/>
  <c r="L17" i="1"/>
  <c r="M14" i="1"/>
  <c r="M17" i="1"/>
</calcChain>
</file>

<file path=xl/sharedStrings.xml><?xml version="1.0" encoding="utf-8"?>
<sst xmlns="http://schemas.openxmlformats.org/spreadsheetml/2006/main" count="74" uniqueCount="40">
  <si>
    <t>WEEKLY TASK SCHEDULE</t>
  </si>
  <si>
    <t>Spring 2026</t>
  </si>
  <si>
    <t>Person</t>
  </si>
  <si>
    <t>Column1</t>
  </si>
  <si>
    <t>Friday</t>
  </si>
  <si>
    <t>Saturday</t>
  </si>
  <si>
    <t>Sunday</t>
  </si>
  <si>
    <t>Monday</t>
  </si>
  <si>
    <t>Tuesday</t>
  </si>
  <si>
    <t>Wednesday</t>
  </si>
  <si>
    <t>Thursday</t>
  </si>
  <si>
    <t>Hourly Rate</t>
  </si>
  <si>
    <t>Hours Worked</t>
  </si>
  <si>
    <t>Total Compensation</t>
  </si>
  <si>
    <t>Gabriel Goeken</t>
  </si>
  <si>
    <t>Completed Engineering Time Sheet</t>
  </si>
  <si>
    <t>Connor Preble</t>
  </si>
  <si>
    <t>Personal SOW Draft (not used)</t>
  </si>
  <si>
    <t>Savanna Flores</t>
  </si>
  <si>
    <t>Completed Python Code Lab 3</t>
  </si>
  <si>
    <t>Total:</t>
  </si>
  <si>
    <t>Schedule Start Date:</t>
  </si>
  <si>
    <t>Began Final Draft of SOW</t>
  </si>
  <si>
    <t>Completed Final Draft of SOW</t>
  </si>
  <si>
    <t>Completed Background and Objectives of Written Report</t>
  </si>
  <si>
    <t>Completed Engineering Time Sheet, Gantt Chart, and Github</t>
  </si>
  <si>
    <t xml:space="preserve">Began Annotated Code Document </t>
  </si>
  <si>
    <t>Complete Annotated Code Document</t>
  </si>
  <si>
    <t>Completed Methods of Written Report</t>
  </si>
  <si>
    <t>Completed Github</t>
  </si>
  <si>
    <t>Completed Python Code Lab 1,2,4</t>
  </si>
  <si>
    <t>Begin Results/Discussion of Written Report</t>
  </si>
  <si>
    <t>Completed Results/Discussion of Written Report</t>
  </si>
  <si>
    <t>TASK LIST</t>
  </si>
  <si>
    <t>Go to weekly task schedule</t>
  </si>
  <si>
    <t>Date</t>
  </si>
  <si>
    <t>Person(s)</t>
  </si>
  <si>
    <t>Assignment/Task</t>
  </si>
  <si>
    <t xml:space="preserve"> </t>
  </si>
  <si>
    <t>Complete Engineering Timesheet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</si>
</sst>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s>
  <fonts count="46">
    <font>
      <sz val="11"/>
      <color theme="3"/>
      <name val="Univers"/>
      <family val="2"/>
      <scheme val="minor"/>
    </font>
    <font>
      <sz val="11"/>
      <color theme="1"/>
      <name val="Univers"/>
      <family val="2"/>
      <scheme val="minor"/>
    </font>
    <font>
      <b/>
      <sz val="11"/>
      <color theme="1"/>
      <name val="Univers"/>
      <family val="2"/>
      <scheme val="minor"/>
    </font>
    <font>
      <b/>
      <sz val="32"/>
      <color theme="0"/>
      <name val="Univers"/>
      <family val="2"/>
      <scheme val="major"/>
    </font>
    <font>
      <b/>
      <sz val="32"/>
      <color theme="4"/>
      <name val="Univers"/>
      <family val="2"/>
      <scheme val="major"/>
    </font>
    <font>
      <sz val="11"/>
      <color theme="0"/>
      <name val="Univers"/>
      <family val="2"/>
      <scheme val="major"/>
    </font>
    <font>
      <b/>
      <sz val="14"/>
      <color theme="0"/>
      <name val="Univers"/>
      <family val="2"/>
      <scheme val="major"/>
    </font>
    <font>
      <sz val="11"/>
      <color theme="3"/>
      <name val="Univers"/>
      <family val="2"/>
      <scheme val="minor"/>
    </font>
    <font>
      <b/>
      <sz val="11"/>
      <color theme="1"/>
      <name val="Univers"/>
      <family val="1"/>
      <scheme val="minor"/>
    </font>
    <font>
      <b/>
      <sz val="11"/>
      <color theme="4"/>
      <name val="Univers"/>
      <family val="1"/>
      <scheme val="minor"/>
    </font>
    <font>
      <b/>
      <sz val="11"/>
      <color theme="0"/>
      <name val="Univers"/>
      <family val="2"/>
      <scheme val="major"/>
    </font>
    <font>
      <sz val="16"/>
      <color theme="3"/>
      <name val="Univers"/>
      <family val="2"/>
      <scheme val="minor"/>
    </font>
    <font>
      <sz val="11"/>
      <name val="Univers"/>
      <family val="2"/>
      <scheme val="minor"/>
    </font>
    <font>
      <sz val="14"/>
      <color theme="3"/>
      <name val="Univers"/>
      <family val="2"/>
      <scheme val="minor"/>
    </font>
    <font>
      <b/>
      <sz val="32"/>
      <name val="Univers"/>
      <family val="2"/>
      <scheme val="minor"/>
    </font>
    <font>
      <b/>
      <sz val="28"/>
      <name val="Univers"/>
      <family val="2"/>
      <scheme val="minor"/>
    </font>
    <font>
      <b/>
      <sz val="28"/>
      <color theme="0"/>
      <name val="Univers"/>
      <family val="2"/>
      <scheme val="minor"/>
    </font>
    <font>
      <b/>
      <sz val="16"/>
      <color theme="0"/>
      <name val="Univers"/>
      <family val="2"/>
      <scheme val="minor"/>
    </font>
    <font>
      <b/>
      <sz val="12"/>
      <color theme="1"/>
      <name val="Univers"/>
      <family val="2"/>
      <scheme val="minor"/>
    </font>
    <font>
      <b/>
      <sz val="12"/>
      <name val="Univers"/>
      <family val="2"/>
      <scheme val="minor"/>
    </font>
    <font>
      <b/>
      <sz val="16"/>
      <name val="Univers"/>
      <family val="2"/>
      <scheme val="minor"/>
    </font>
    <font>
      <sz val="12"/>
      <color theme="4"/>
      <name val="Univers"/>
      <family val="2"/>
      <scheme val="minor"/>
    </font>
    <font>
      <sz val="10"/>
      <color theme="4"/>
      <name val="Univers"/>
      <family val="2"/>
      <scheme val="minor"/>
    </font>
    <font>
      <sz val="14"/>
      <color theme="0"/>
      <name val="Univers"/>
      <family val="2"/>
      <scheme val="minor"/>
    </font>
    <font>
      <b/>
      <sz val="10"/>
      <color theme="0"/>
      <name val="Univers"/>
      <family val="2"/>
      <scheme val="minor"/>
    </font>
    <font>
      <sz val="12"/>
      <name val="Univers"/>
      <family val="2"/>
      <scheme val="minor"/>
    </font>
    <font>
      <sz val="16"/>
      <color theme="0"/>
      <name val="Univers"/>
      <family val="2"/>
      <scheme val="minor"/>
    </font>
    <font>
      <sz val="28"/>
      <color theme="0"/>
      <name val="Univers"/>
      <family val="2"/>
      <scheme val="major"/>
    </font>
    <font>
      <b/>
      <sz val="14"/>
      <color theme="3"/>
      <name val="Univers"/>
      <family val="2"/>
      <scheme val="major"/>
    </font>
    <font>
      <b/>
      <sz val="10"/>
      <color theme="4"/>
      <name val="Univers"/>
      <family val="2"/>
      <scheme val="major"/>
    </font>
    <font>
      <b/>
      <sz val="10"/>
      <name val="Univers"/>
      <family val="2"/>
      <scheme val="major"/>
    </font>
    <font>
      <b/>
      <sz val="11"/>
      <color theme="3"/>
      <name val="Univers"/>
      <family val="2"/>
      <scheme val="major"/>
    </font>
    <font>
      <sz val="16"/>
      <color theme="3"/>
      <name val="Univers"/>
      <family val="2"/>
      <scheme val="major"/>
    </font>
    <font>
      <b/>
      <sz val="16"/>
      <color theme="4"/>
      <name val="Univers"/>
      <family val="2"/>
      <scheme val="major"/>
    </font>
    <font>
      <b/>
      <sz val="16"/>
      <name val="Univers"/>
      <family val="2"/>
      <scheme val="major"/>
    </font>
    <font>
      <sz val="10"/>
      <name val="Univers"/>
      <family val="2"/>
      <scheme val="minor"/>
    </font>
    <font>
      <b/>
      <sz val="10"/>
      <color theme="4" tint="-0.249977111117893"/>
      <name val="Univers"/>
      <family val="2"/>
      <scheme val="minor"/>
    </font>
    <font>
      <sz val="10"/>
      <color theme="3"/>
      <name val="Univers"/>
      <family val="2"/>
      <scheme val="minor"/>
    </font>
    <font>
      <sz val="32"/>
      <color theme="0"/>
      <name val="Univers"/>
      <family val="2"/>
      <scheme val="major"/>
    </font>
    <font>
      <sz val="11"/>
      <color theme="3"/>
      <name val="Univers"/>
      <family val="2"/>
      <scheme val="major"/>
    </font>
    <font>
      <b/>
      <sz val="16"/>
      <color theme="0"/>
      <name val="Univers"/>
      <family val="2"/>
      <scheme val="major"/>
    </font>
    <font>
      <sz val="10"/>
      <color rgb="FF000000"/>
      <name val="Univers"/>
      <family val="2"/>
      <scheme val="minor"/>
    </font>
    <font>
      <b/>
      <sz val="14"/>
      <color rgb="FF000000"/>
      <name val="Univers"/>
      <family val="2"/>
      <scheme val="major"/>
    </font>
    <font>
      <b/>
      <sz val="14"/>
      <color rgb="FF000000"/>
      <name val="Univers"/>
      <scheme val="major"/>
    </font>
    <font>
      <b/>
      <sz val="10"/>
      <color rgb="FF000000"/>
      <name val="Univers"/>
      <family val="2"/>
      <scheme val="minor"/>
    </font>
    <font>
      <sz val="12"/>
      <color rgb="FF000000"/>
      <name val="Univers"/>
      <family val="2"/>
      <scheme val="minor"/>
    </font>
  </fonts>
  <fills count="7">
    <fill>
      <patternFill patternType="none"/>
    </fill>
    <fill>
      <patternFill patternType="gray125"/>
    </fill>
    <fill>
      <patternFill patternType="solid">
        <fgColor theme="4"/>
        <bgColor indexed="64"/>
      </patternFill>
    </fill>
    <fill>
      <patternFill patternType="solid">
        <fgColor rgb="FFFFFFCC"/>
      </patternFill>
    </fill>
    <fill>
      <patternFill patternType="solid">
        <fgColor theme="4" tint="0.79998168889431442"/>
        <bgColor indexed="65"/>
      </patternFill>
    </fill>
    <fill>
      <patternFill patternType="solid">
        <fgColor theme="4" tint="0.89999084444715716"/>
        <bgColor indexed="64"/>
      </patternFill>
    </fill>
    <fill>
      <patternFill patternType="solid">
        <fgColor theme="4" tint="0.749961851863155"/>
        <bgColor indexed="64"/>
      </patternFill>
    </fill>
  </fills>
  <borders count="16">
    <border>
      <left/>
      <right/>
      <top/>
      <bottom/>
      <diagonal/>
    </border>
    <border>
      <left style="medium">
        <color theme="4"/>
      </left>
      <right style="medium">
        <color theme="4"/>
      </right>
      <top style="medium">
        <color theme="4"/>
      </top>
      <bottom style="medium">
        <color theme="4"/>
      </bottom>
      <diagonal/>
    </border>
    <border>
      <left style="thin">
        <color rgb="FFB2B2B2"/>
      </left>
      <right style="thin">
        <color rgb="FFB2B2B2"/>
      </right>
      <top style="thin">
        <color rgb="FFB2B2B2"/>
      </top>
      <bottom style="thin">
        <color rgb="FFB2B2B2"/>
      </bottom>
      <diagonal/>
    </border>
    <border>
      <left style="thin">
        <color theme="4"/>
      </left>
      <right/>
      <top/>
      <bottom/>
      <diagonal/>
    </border>
    <border>
      <left/>
      <right style="thin">
        <color theme="4"/>
      </right>
      <top/>
      <bottom/>
      <diagonal/>
    </border>
    <border>
      <left style="thin">
        <color theme="4"/>
      </left>
      <right style="thin">
        <color theme="4"/>
      </right>
      <top style="thin">
        <color theme="4"/>
      </top>
      <bottom/>
      <diagonal/>
    </border>
    <border>
      <left style="thick">
        <color theme="4" tint="-0.249977111117893"/>
      </left>
      <right/>
      <top/>
      <bottom/>
      <diagonal/>
    </border>
    <border>
      <left/>
      <right style="thin">
        <color indexed="64"/>
      </right>
      <top/>
      <bottom/>
      <diagonal/>
    </border>
    <border>
      <left/>
      <right/>
      <top style="thick">
        <color rgb="FF000000"/>
      </top>
      <bottom/>
      <diagonal/>
    </border>
    <border>
      <left/>
      <right style="thin">
        <color rgb="FF000000"/>
      </right>
      <top style="thin">
        <color rgb="FF000000"/>
      </top>
      <bottom style="thin">
        <color rgb="FF000000"/>
      </bottom>
      <diagonal/>
    </border>
    <border>
      <left style="thin">
        <color theme="4"/>
      </left>
      <right/>
      <top style="thin">
        <color rgb="FF000000"/>
      </top>
      <bottom style="thin">
        <color rgb="FF000000"/>
      </bottom>
      <diagonal/>
    </border>
    <border>
      <left/>
      <right style="thin">
        <color rgb="FF000000"/>
      </right>
      <top/>
      <bottom/>
      <diagonal/>
    </border>
    <border>
      <left style="thin">
        <color rgb="FF000000"/>
      </left>
      <right/>
      <top style="thick">
        <color rgb="FF000000"/>
      </top>
      <bottom style="thin">
        <color rgb="FF000000"/>
      </bottom>
      <diagonal/>
    </border>
    <border>
      <left/>
      <right style="thin">
        <color rgb="FF000000"/>
      </right>
      <top style="thick">
        <color rgb="FF000000"/>
      </top>
      <bottom style="thin">
        <color rgb="FF000000"/>
      </bottom>
      <diagonal/>
    </border>
    <border>
      <left/>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s>
  <cellStyleXfs count="18">
    <xf numFmtId="0" fontId="0" fillId="0" borderId="0">
      <alignment horizontal="left" vertical="center" wrapText="1" indent="1"/>
    </xf>
    <xf numFmtId="0" fontId="3" fillId="2" borderId="0" applyNumberFormat="0" applyProtection="0">
      <alignment horizontal="left" vertical="center"/>
    </xf>
    <xf numFmtId="0" fontId="4" fillId="0" borderId="0" applyProtection="0">
      <alignment vertical="center"/>
    </xf>
    <xf numFmtId="0" fontId="6" fillId="2" borderId="5" applyProtection="0">
      <alignment horizontal="left" vertical="center" indent="1"/>
    </xf>
    <xf numFmtId="14" fontId="5" fillId="2" borderId="4" applyProtection="0">
      <alignment horizontal="left" vertical="top" indent="1"/>
    </xf>
    <xf numFmtId="0" fontId="8" fillId="0" borderId="0" applyBorder="0" applyProtection="0">
      <alignment horizontal="right" vertical="center" indent="1"/>
    </xf>
    <xf numFmtId="0" fontId="2" fillId="0" borderId="0" applyProtection="0">
      <alignment horizontal="left" vertical="center" indent="1"/>
    </xf>
    <xf numFmtId="0" fontId="2" fillId="0" borderId="0" applyProtection="0">
      <alignment horizontal="left" vertical="center" indent="1"/>
    </xf>
    <xf numFmtId="43" fontId="7" fillId="0" borderId="0" applyFont="0" applyFill="0" applyBorder="0" applyAlignment="0" applyProtection="0"/>
    <xf numFmtId="41"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9" fontId="7" fillId="0" borderId="0" applyFont="0" applyFill="0" applyBorder="0" applyAlignment="0" applyProtection="0"/>
    <xf numFmtId="0" fontId="7" fillId="3" borderId="2" applyNumberFormat="0" applyAlignment="0" applyProtection="0"/>
    <xf numFmtId="0" fontId="1" fillId="4" borderId="0" applyNumberFormat="0" applyFont="0" applyBorder="0" applyAlignment="0" applyProtection="0"/>
    <xf numFmtId="14" fontId="7" fillId="0" borderId="0" applyFont="0" applyFill="0" applyBorder="0">
      <alignment horizontal="center" vertical="center"/>
    </xf>
    <xf numFmtId="14" fontId="9" fillId="0" borderId="1">
      <alignment horizontal="center" vertical="center"/>
    </xf>
    <xf numFmtId="0" fontId="10" fillId="2" borderId="3">
      <alignment horizontal="left" vertical="top" indent="1"/>
    </xf>
  </cellStyleXfs>
  <cellXfs count="74">
    <xf numFmtId="0" fontId="0" fillId="0" borderId="0" xfId="0">
      <alignment horizontal="left" vertical="center" wrapText="1" indent="1"/>
    </xf>
    <xf numFmtId="0" fontId="11" fillId="0" borderId="0" xfId="0" applyFont="1">
      <alignment horizontal="left" vertical="center" wrapText="1" indent="1"/>
    </xf>
    <xf numFmtId="0" fontId="11" fillId="5" borderId="0" xfId="0" applyFont="1" applyFill="1">
      <alignment horizontal="left" vertical="center" wrapText="1" indent="1"/>
    </xf>
    <xf numFmtId="0" fontId="11" fillId="5" borderId="0" xfId="0" applyFont="1" applyFill="1" applyAlignment="1">
      <alignment horizontal="left" vertical="top" wrapText="1" indent="1"/>
    </xf>
    <xf numFmtId="0" fontId="12" fillId="0" borderId="0" xfId="0" applyFont="1">
      <alignment horizontal="left" vertical="center" wrapText="1" indent="1"/>
    </xf>
    <xf numFmtId="0" fontId="0" fillId="5" borderId="0" xfId="0" applyFill="1">
      <alignment horizontal="left" vertical="center" wrapText="1" indent="1"/>
    </xf>
    <xf numFmtId="0" fontId="12" fillId="5" borderId="0" xfId="0" applyFont="1" applyFill="1">
      <alignment horizontal="left" vertical="center" wrapText="1" indent="1"/>
    </xf>
    <xf numFmtId="0" fontId="13" fillId="5" borderId="0" xfId="0" applyFont="1" applyFill="1">
      <alignment horizontal="left" vertical="center" wrapText="1" indent="1"/>
    </xf>
    <xf numFmtId="0" fontId="0" fillId="2" borderId="0" xfId="0" applyFill="1">
      <alignment horizontal="left" vertical="center" wrapText="1" indent="1"/>
    </xf>
    <xf numFmtId="0" fontId="14" fillId="2" borderId="0" xfId="1" applyFont="1">
      <alignment horizontal="left" vertical="center"/>
    </xf>
    <xf numFmtId="0" fontId="15" fillId="2" borderId="0" xfId="2" applyFont="1" applyFill="1">
      <alignment vertical="center"/>
    </xf>
    <xf numFmtId="14" fontId="16" fillId="2" borderId="0" xfId="16" applyFont="1" applyFill="1" applyBorder="1" applyAlignment="1">
      <alignment horizontal="left" vertical="center"/>
    </xf>
    <xf numFmtId="0" fontId="18" fillId="5" borderId="0" xfId="6" applyFont="1" applyFill="1" applyAlignment="1">
      <alignment horizontal="right" vertical="center" indent="1"/>
    </xf>
    <xf numFmtId="0" fontId="19" fillId="5" borderId="0" xfId="6" applyFont="1" applyFill="1" applyAlignment="1">
      <alignment horizontal="right" vertical="center" indent="1"/>
    </xf>
    <xf numFmtId="14" fontId="20" fillId="5" borderId="0" xfId="16" applyFont="1" applyFill="1" applyBorder="1" applyAlignment="1">
      <alignment horizontal="left" vertical="center"/>
    </xf>
    <xf numFmtId="0" fontId="23" fillId="5" borderId="0" xfId="0" applyFont="1" applyFill="1">
      <alignment horizontal="left" vertical="center" wrapText="1" indent="1"/>
    </xf>
    <xf numFmtId="0" fontId="24" fillId="5" borderId="0" xfId="0" applyFont="1" applyFill="1" applyAlignment="1">
      <alignment horizontal="left" vertical="center" wrapText="1" indent="2"/>
    </xf>
    <xf numFmtId="0" fontId="0" fillId="2" borderId="0" xfId="0" applyFill="1" applyAlignment="1">
      <alignment horizontal="left" vertical="center" wrapText="1"/>
    </xf>
    <xf numFmtId="14" fontId="17" fillId="2" borderId="0" xfId="16" applyFont="1" applyFill="1" applyBorder="1" applyAlignment="1">
      <alignment horizontal="left" vertical="center"/>
    </xf>
    <xf numFmtId="0" fontId="19" fillId="5" borderId="0" xfId="5" applyFont="1" applyFill="1" applyBorder="1" applyAlignment="1">
      <alignment horizontal="left" vertical="center"/>
    </xf>
    <xf numFmtId="0" fontId="27" fillId="2" borderId="0" xfId="1" applyFont="1" applyAlignment="1">
      <alignment horizontal="left" vertical="center" indent="2"/>
    </xf>
    <xf numFmtId="0" fontId="28" fillId="5" borderId="0" xfId="0" applyFont="1" applyFill="1" applyAlignment="1">
      <alignment horizontal="left" wrapText="1" indent="1"/>
    </xf>
    <xf numFmtId="0" fontId="29" fillId="5" borderId="0" xfId="17" applyFont="1" applyFill="1" applyBorder="1" applyAlignment="1">
      <alignment horizontal="left" indent="2"/>
    </xf>
    <xf numFmtId="0" fontId="30" fillId="5" borderId="0" xfId="17" applyFont="1" applyFill="1" applyBorder="1" applyAlignment="1">
      <alignment horizontal="left" indent="2"/>
    </xf>
    <xf numFmtId="14" fontId="29" fillId="5" borderId="0" xfId="4" applyFont="1" applyFill="1" applyBorder="1" applyAlignment="1">
      <alignment horizontal="left" indent="2"/>
    </xf>
    <xf numFmtId="0" fontId="31" fillId="5" borderId="0" xfId="0" applyFont="1" applyFill="1" applyAlignment="1">
      <alignment horizontal="left" wrapText="1" indent="1"/>
    </xf>
    <xf numFmtId="0" fontId="31" fillId="0" borderId="0" xfId="0" applyFont="1" applyAlignment="1">
      <alignment horizontal="left" wrapText="1" indent="1"/>
    </xf>
    <xf numFmtId="0" fontId="32" fillId="0" borderId="0" xfId="0" applyFont="1" applyAlignment="1">
      <alignment horizontal="left" vertical="top" wrapText="1" indent="1"/>
    </xf>
    <xf numFmtId="0" fontId="2" fillId="5" borderId="0" xfId="6" applyFill="1">
      <alignment horizontal="left" vertical="center" indent="1"/>
    </xf>
    <xf numFmtId="0" fontId="36" fillId="2" borderId="6" xfId="0" applyFont="1" applyFill="1" applyBorder="1" applyAlignment="1">
      <alignment horizontal="left" vertical="center" wrapText="1" indent="2"/>
    </xf>
    <xf numFmtId="0" fontId="25" fillId="2" borderId="0" xfId="0" applyFont="1" applyFill="1" applyAlignment="1">
      <alignment horizontal="left" vertical="center" wrapText="1" indent="2"/>
    </xf>
    <xf numFmtId="0" fontId="37" fillId="2" borderId="0" xfId="0" applyFont="1" applyFill="1" applyProtection="1">
      <alignment horizontal="left" vertical="center" wrapText="1" indent="1"/>
      <protection locked="0"/>
    </xf>
    <xf numFmtId="0" fontId="37" fillId="5" borderId="0" xfId="0" applyFont="1" applyFill="1" applyProtection="1">
      <alignment horizontal="left" vertical="center" wrapText="1" indent="1"/>
      <protection locked="0"/>
    </xf>
    <xf numFmtId="0" fontId="37" fillId="0" borderId="0" xfId="0" applyFont="1" applyProtection="1">
      <alignment horizontal="left" vertical="center" wrapText="1" indent="1"/>
      <protection locked="0"/>
    </xf>
    <xf numFmtId="0" fontId="38" fillId="2" borderId="0" xfId="2" applyFont="1" applyFill="1" applyAlignment="1">
      <alignment horizontal="left" vertical="center" indent="2"/>
    </xf>
    <xf numFmtId="0" fontId="39" fillId="2" borderId="0" xfId="0" applyFont="1" applyFill="1">
      <alignment horizontal="left" vertical="center" wrapText="1" indent="1"/>
    </xf>
    <xf numFmtId="0" fontId="39" fillId="5" borderId="0" xfId="0" applyFont="1" applyFill="1">
      <alignment horizontal="left" vertical="center" wrapText="1" indent="1"/>
    </xf>
    <xf numFmtId="0" fontId="21" fillId="0" borderId="0" xfId="0" applyFont="1" applyAlignment="1">
      <alignment horizontal="left" vertical="center" wrapText="1" indent="2"/>
    </xf>
    <xf numFmtId="0" fontId="37" fillId="2" borderId="7" xfId="0" applyFont="1" applyFill="1" applyBorder="1" applyProtection="1">
      <alignment horizontal="left" vertical="center" wrapText="1" indent="1"/>
      <protection locked="0"/>
    </xf>
    <xf numFmtId="14" fontId="35" fillId="0" borderId="0" xfId="15" applyFont="1" applyFill="1" applyBorder="1" applyAlignment="1">
      <alignment horizontal="left" vertical="center" indent="2"/>
    </xf>
    <xf numFmtId="0" fontId="35" fillId="0" borderId="0" xfId="0" applyFont="1" applyAlignment="1">
      <alignment horizontal="left" vertical="center" wrapText="1" indent="2"/>
    </xf>
    <xf numFmtId="0" fontId="35" fillId="0" borderId="0" xfId="0" applyFont="1">
      <alignment horizontal="left" vertical="center" wrapText="1" indent="1"/>
    </xf>
    <xf numFmtId="0" fontId="33" fillId="0" borderId="0" xfId="3" applyFont="1" applyFill="1" applyBorder="1" applyAlignment="1">
      <alignment horizontal="left" vertical="top" indent="2"/>
    </xf>
    <xf numFmtId="0" fontId="34" fillId="0" borderId="0" xfId="3" applyFont="1" applyFill="1" applyBorder="1" applyAlignment="1">
      <alignment horizontal="left" vertical="top" indent="2"/>
    </xf>
    <xf numFmtId="0" fontId="38" fillId="5" borderId="0" xfId="2" applyFont="1" applyFill="1">
      <alignment vertical="center"/>
    </xf>
    <xf numFmtId="0" fontId="40" fillId="5" borderId="0" xfId="6" applyFont="1" applyFill="1" applyAlignment="1">
      <alignment horizontal="right" vertical="center" indent="6"/>
    </xf>
    <xf numFmtId="0" fontId="33" fillId="0" borderId="0" xfId="3" applyFont="1" applyFill="1" applyBorder="1" applyAlignment="1">
      <alignment horizontal="left" vertical="top"/>
    </xf>
    <xf numFmtId="0" fontId="33" fillId="0" borderId="5" xfId="3" applyFont="1" applyFill="1" applyAlignment="1">
      <alignment horizontal="left" vertical="top" indent="2"/>
    </xf>
    <xf numFmtId="0" fontId="22" fillId="0" borderId="0" xfId="0" applyFont="1" applyAlignment="1">
      <alignment horizontal="center" vertical="center" wrapText="1" indent="1"/>
    </xf>
    <xf numFmtId="2" fontId="22" fillId="0" borderId="0" xfId="0" applyNumberFormat="1" applyFont="1" applyAlignment="1">
      <alignment horizontal="center" vertical="center" wrapText="1" indent="1"/>
    </xf>
    <xf numFmtId="44" fontId="22" fillId="0" borderId="0" xfId="0" applyNumberFormat="1" applyFont="1" applyAlignment="1">
      <alignment horizontal="center" vertical="center" wrapText="1" indent="1"/>
    </xf>
    <xf numFmtId="0" fontId="13" fillId="5" borderId="8" xfId="0" applyFont="1" applyFill="1" applyBorder="1">
      <alignment horizontal="left" vertical="center" wrapText="1" indent="1"/>
    </xf>
    <xf numFmtId="0" fontId="21" fillId="0" borderId="8" xfId="0" applyFont="1" applyBorder="1" applyAlignment="1">
      <alignment horizontal="left" vertical="center" wrapText="1" indent="2"/>
    </xf>
    <xf numFmtId="0" fontId="22" fillId="0" borderId="8" xfId="0" applyFont="1" applyBorder="1" applyAlignment="1">
      <alignment horizontal="center" vertical="center" wrapText="1" indent="1"/>
    </xf>
    <xf numFmtId="0" fontId="11" fillId="5" borderId="8" xfId="0" applyFont="1" applyFill="1" applyBorder="1">
      <alignment horizontal="left" vertical="center" wrapText="1" indent="1"/>
    </xf>
    <xf numFmtId="44" fontId="41" fillId="0" borderId="8" xfId="0" applyNumberFormat="1" applyFont="1" applyBorder="1" applyAlignment="1">
      <alignment horizontal="center" vertical="center" wrapText="1" indent="1"/>
    </xf>
    <xf numFmtId="2" fontId="41" fillId="0" borderId="8" xfId="0" applyNumberFormat="1" applyFont="1" applyBorder="1" applyAlignment="1">
      <alignment horizontal="center" vertical="center" wrapText="1" indent="1"/>
    </xf>
    <xf numFmtId="0" fontId="0" fillId="0" borderId="9" xfId="0" applyBorder="1">
      <alignment horizontal="left" vertical="center" wrapText="1" indent="1"/>
    </xf>
    <xf numFmtId="0" fontId="42" fillId="0" borderId="14" xfId="0" applyFont="1" applyBorder="1" applyAlignment="1">
      <alignment horizontal="center" vertical="center" wrapText="1" indent="2"/>
    </xf>
    <xf numFmtId="0" fontId="44" fillId="6" borderId="15" xfId="0" applyFont="1" applyFill="1" applyBorder="1" applyAlignment="1">
      <alignment horizontal="center" vertical="center" wrapText="1" indent="1"/>
    </xf>
    <xf numFmtId="0" fontId="45" fillId="0" borderId="10" xfId="0" applyFont="1" applyBorder="1" applyAlignment="1">
      <alignment horizontal="left" vertical="center" wrapText="1" indent="2"/>
    </xf>
    <xf numFmtId="0" fontId="41" fillId="0" borderId="12" xfId="0" applyFont="1" applyBorder="1" applyAlignment="1">
      <alignment horizontal="center" vertical="center" wrapText="1" indent="1"/>
    </xf>
    <xf numFmtId="0" fontId="41" fillId="0" borderId="13" xfId="0" applyFont="1" applyBorder="1" applyAlignment="1">
      <alignment horizontal="center" vertical="center" wrapText="1" indent="1"/>
    </xf>
    <xf numFmtId="0" fontId="41" fillId="0" borderId="14" xfId="0" applyFont="1" applyBorder="1" applyAlignment="1">
      <alignment horizontal="center" vertical="center" wrapText="1" indent="1"/>
    </xf>
    <xf numFmtId="0" fontId="41" fillId="0" borderId="15" xfId="0" applyFont="1" applyBorder="1" applyAlignment="1">
      <alignment horizontal="center" vertical="center" wrapText="1" indent="1"/>
    </xf>
    <xf numFmtId="2" fontId="41" fillId="0" borderId="14" xfId="0" applyNumberFormat="1" applyFont="1" applyBorder="1" applyAlignment="1">
      <alignment horizontal="center" vertical="center" wrapText="1" indent="1"/>
    </xf>
    <xf numFmtId="44" fontId="41" fillId="0" borderId="13" xfId="0" applyNumberFormat="1" applyFont="1" applyBorder="1" applyAlignment="1">
      <alignment horizontal="center" vertical="center" wrapText="1" indent="1"/>
    </xf>
    <xf numFmtId="0" fontId="42" fillId="0" borderId="15" xfId="0" applyFont="1" applyBorder="1" applyAlignment="1">
      <alignment horizontal="center" vertical="center" wrapText="1" indent="2"/>
    </xf>
    <xf numFmtId="0" fontId="43" fillId="0" borderId="15" xfId="0" applyFont="1" applyBorder="1" applyAlignment="1">
      <alignment horizontal="center" vertical="center" wrapText="1" indent="2"/>
    </xf>
    <xf numFmtId="0" fontId="29" fillId="0" borderId="11" xfId="0" applyFont="1" applyBorder="1" applyAlignment="1">
      <alignment horizontal="center" vertical="center" wrapText="1" indent="2"/>
    </xf>
    <xf numFmtId="8" fontId="22" fillId="0" borderId="0" xfId="0" applyNumberFormat="1" applyFont="1" applyAlignment="1">
      <alignment horizontal="center" vertical="center" wrapText="1" indent="1"/>
    </xf>
    <xf numFmtId="0" fontId="17" fillId="2" borderId="0" xfId="6" applyFont="1" applyFill="1" applyAlignment="1">
      <alignment horizontal="left" vertical="center" indent="2"/>
    </xf>
    <xf numFmtId="0" fontId="26" fillId="2" borderId="0" xfId="5" applyFont="1" applyFill="1" applyBorder="1" applyAlignment="1">
      <alignment horizontal="left" vertical="center"/>
    </xf>
    <xf numFmtId="0" fontId="40" fillId="2" borderId="0" xfId="6" applyFont="1" applyFill="1" applyAlignment="1">
      <alignment horizontal="left" vertical="center" indent="2"/>
    </xf>
  </cellXfs>
  <cellStyles count="18">
    <cellStyle name="20% - Accent1" xfId="14" builtinId="30" customBuiltin="1"/>
    <cellStyle name="Comma" xfId="8" builtinId="3" customBuiltin="1"/>
    <cellStyle name="Comma [0]" xfId="9" builtinId="6" customBuiltin="1"/>
    <cellStyle name="Currency" xfId="10" builtinId="4" customBuiltin="1"/>
    <cellStyle name="Currency [0]" xfId="11" builtinId="7" customBuiltin="1"/>
    <cellStyle name="Date" xfId="15" xr:uid="{00000000-0005-0000-0000-000005000000}"/>
    <cellStyle name="Followed Hyperlink" xfId="7" builtinId="9" customBuiltin="1"/>
    <cellStyle name="Heading 1" xfId="2" builtinId="16" customBuiltin="1"/>
    <cellStyle name="Heading 2" xfId="3" builtinId="17" customBuiltin="1"/>
    <cellStyle name="Heading 3" xfId="4" builtinId="18" customBuiltin="1"/>
    <cellStyle name="Heading 4" xfId="5" builtinId="19" customBuiltin="1"/>
    <cellStyle name="Hyperlink" xfId="6" builtinId="8" customBuiltin="1"/>
    <cellStyle name="Normal" xfId="0" builtinId="0" customBuiltin="1"/>
    <cellStyle name="Note" xfId="13" builtinId="10" customBuiltin="1"/>
    <cellStyle name="Percent" xfId="12" builtinId="5" customBuiltin="1"/>
    <cellStyle name="Start Date" xfId="16" xr:uid="{00000000-0005-0000-0000-00000F000000}"/>
    <cellStyle name="Title" xfId="1" builtinId="15" customBuiltin="1"/>
    <cellStyle name="Year" xfId="17" xr:uid="{00000000-0005-0000-0000-000011000000}"/>
  </cellStyles>
  <dxfs count="53">
    <dxf>
      <font>
        <strike val="0"/>
        <outline val="0"/>
        <shadow val="0"/>
        <u val="none"/>
        <vertAlign val="baseline"/>
        <sz val="10"/>
        <color theme="4"/>
        <name val="Univers"/>
        <family val="2"/>
        <scheme val="minor"/>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theme="4"/>
        <name val="Univers"/>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0"/>
        <color theme="4"/>
        <name val="Univers"/>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0"/>
        <color theme="4"/>
        <name val="Univers"/>
        <family val="2"/>
        <scheme val="min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0"/>
        <color theme="4"/>
        <name val="Univers"/>
        <family val="2"/>
        <scheme val="minor"/>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6"/>
        <color theme="4"/>
        <name val="Univers"/>
        <family val="2"/>
        <scheme val="major"/>
      </font>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sz val="10"/>
        <color theme="4"/>
        <name val="Univers"/>
        <family val="2"/>
        <scheme val="minor"/>
      </font>
      <numFmt numFmtId="34" formatCode="_(&quot;$&quot;* #,##0.00_);_(&quot;$&quot;* \(#,##0.00\);_(&quot;$&quot;* &quot;-&quot;??_);_(@_)"/>
      <fill>
        <patternFill patternType="none">
          <fgColor indexed="64"/>
          <bgColor indexed="65"/>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numFmt numFmtId="2" formatCode="0.00"/>
      <fill>
        <patternFill patternType="none">
          <fgColor indexed="64"/>
          <bgColor indexed="65"/>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numFmt numFmtId="34" formatCode="_(&quot;$&quot;* #,##0.00_);_(&quot;$&quot;* \(#,##0.00\);_(&quot;$&quot;* &quot;-&quot;??_);_(@_)"/>
      <fill>
        <patternFill patternType="none">
          <fgColor indexed="64"/>
          <bgColor indexed="65"/>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numFmt numFmtId="0" formatCode="General"/>
      <fill>
        <patternFill patternType="none">
          <fgColor indexed="64"/>
          <bgColor auto="1"/>
        </patternFill>
      </fill>
      <alignment horizontal="center" vertical="center" textRotation="0" indent="1" justifyLastLine="0" shrinkToFit="0" readingOrder="0"/>
      <protection locked="1" hidden="0"/>
    </dxf>
    <dxf>
      <font>
        <b val="0"/>
        <i val="0"/>
        <strike val="0"/>
        <condense val="0"/>
        <extend val="0"/>
        <outline val="0"/>
        <shadow val="0"/>
        <u val="none"/>
        <vertAlign val="baseline"/>
        <sz val="12"/>
        <color theme="4"/>
        <name val="Univers"/>
        <family val="2"/>
        <scheme val="minor"/>
      </font>
      <fill>
        <patternFill patternType="none">
          <fgColor indexed="64"/>
          <bgColor auto="1"/>
        </patternFill>
      </fill>
      <alignment horizontal="left" vertical="center" textRotation="0" wrapText="1" indent="2" justifyLastLine="0" shrinkToFit="0" readingOrder="0"/>
    </dxf>
    <dxf>
      <font>
        <b/>
        <strike val="0"/>
        <outline val="0"/>
        <shadow val="0"/>
        <u val="none"/>
        <vertAlign val="baseline"/>
        <sz val="10"/>
        <color theme="4"/>
        <name val="Univers"/>
        <family val="2"/>
        <scheme val="maj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0"/>
        <color theme="4"/>
        <name val="Univers"/>
        <family val="2"/>
        <scheme val="minor"/>
      </font>
      <fill>
        <patternFill patternType="none">
          <fgColor indexed="64"/>
          <bgColor auto="1"/>
        </patternFill>
      </fill>
      <alignment horizontal="left" vertical="center" textRotation="0" indent="1" justifyLastLine="0" shrinkToFit="0" readingOrder="0"/>
    </dxf>
    <dxf>
      <font>
        <b/>
        <i val="0"/>
        <strike val="0"/>
        <condense val="0"/>
        <extend val="0"/>
        <outline val="0"/>
        <shadow val="0"/>
        <u val="none"/>
        <vertAlign val="baseline"/>
        <sz val="16"/>
        <color theme="4"/>
        <name val="Univers"/>
        <family val="2"/>
        <scheme val="major"/>
      </font>
      <fill>
        <patternFill patternType="none">
          <fgColor indexed="64"/>
          <bgColor auto="1"/>
        </patternFill>
      </fill>
      <alignment horizontal="left" vertical="top" textRotation="0" wrapText="0" indent="2" justifyLastLine="0" shrinkToFit="0" readingOrder="0"/>
    </dxf>
    <dxf>
      <font>
        <b val="0"/>
        <strike val="0"/>
        <outline val="0"/>
        <shadow val="0"/>
        <u val="none"/>
        <vertAlign val="baseline"/>
        <sz val="10"/>
        <color theme="4"/>
        <name val="Univers"/>
        <family val="2"/>
        <scheme val="minor"/>
      </font>
      <numFmt numFmtId="34" formatCode="_(&quot;$&quot;* #,##0.00_);_(&quot;$&quot;* \(#,##0.00\);_(&quot;$&quot;* &quot;-&quot;??_);_(@_)"/>
      <fill>
        <patternFill patternType="none">
          <fgColor indexed="64"/>
          <bgColor indexed="65"/>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numFmt numFmtId="2" formatCode="0.00"/>
      <fill>
        <patternFill patternType="none">
          <fgColor indexed="64"/>
          <bgColor indexed="65"/>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numFmt numFmtId="34" formatCode="_(&quot;$&quot;* #,##0.00_);_(&quot;$&quot;* \(#,##0.00\);_(&quot;$&quot;* &quot;-&quot;??_);_(@_)"/>
      <fill>
        <patternFill patternType="none">
          <fgColor indexed="64"/>
          <bgColor auto="1"/>
        </patternFill>
      </fill>
      <alignment horizontal="left" vertical="center" textRotation="0"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numFmt numFmtId="0" formatCode="General"/>
      <fill>
        <patternFill patternType="none">
          <fgColor indexed="64"/>
          <bgColor auto="1"/>
        </patternFill>
      </fill>
      <alignment horizontal="center" vertical="center" textRotation="0" indent="1" justifyLastLine="0" shrinkToFit="0" readingOrder="0"/>
      <protection locked="1" hidden="0"/>
    </dxf>
    <dxf>
      <font>
        <b val="0"/>
        <strike val="0"/>
        <outline val="0"/>
        <shadow val="0"/>
        <u val="none"/>
        <vertAlign val="baseline"/>
        <sz val="10"/>
        <color theme="4"/>
        <name val="Univers"/>
        <family val="2"/>
        <scheme val="minor"/>
      </font>
      <numFmt numFmtId="0" formatCode="General"/>
      <fill>
        <patternFill patternType="none">
          <fgColor indexed="64"/>
          <bgColor auto="1"/>
        </patternFill>
      </fill>
      <alignment horizontal="center" vertical="center" textRotation="0" indent="1" justifyLastLine="0" shrinkToFit="0" readingOrder="0"/>
      <protection locked="1" hidden="0"/>
    </dxf>
    <dxf>
      <font>
        <b val="0"/>
        <i val="0"/>
        <strike val="0"/>
        <condense val="0"/>
        <extend val="0"/>
        <outline val="0"/>
        <shadow val="0"/>
        <u val="none"/>
        <vertAlign val="baseline"/>
        <sz val="12"/>
        <color theme="4"/>
        <name val="Univers"/>
        <family val="2"/>
        <scheme val="minor"/>
      </font>
      <fill>
        <patternFill patternType="none">
          <fgColor indexed="64"/>
          <bgColor auto="1"/>
        </patternFill>
      </fill>
      <alignment horizontal="left" vertical="center" textRotation="0" wrapText="1" indent="2" justifyLastLine="0" shrinkToFit="0" readingOrder="0"/>
    </dxf>
    <dxf>
      <font>
        <b/>
        <strike val="0"/>
        <outline val="0"/>
        <shadow val="0"/>
        <u val="none"/>
        <vertAlign val="baseline"/>
        <sz val="10"/>
        <color theme="4"/>
        <name val="Univers"/>
        <family val="2"/>
        <scheme val="maj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0"/>
        <color theme="4"/>
        <name val="Univers"/>
        <family val="2"/>
        <scheme val="minor"/>
      </font>
      <fill>
        <patternFill patternType="none">
          <fgColor indexed="64"/>
          <bgColor auto="1"/>
        </patternFill>
      </fill>
      <alignment horizontal="left" vertical="center" textRotation="0" indent="1" justifyLastLine="0" shrinkToFit="0" readingOrder="0"/>
    </dxf>
    <dxf>
      <font>
        <b/>
        <i val="0"/>
        <strike val="0"/>
        <condense val="0"/>
        <extend val="0"/>
        <outline val="0"/>
        <shadow val="0"/>
        <u val="none"/>
        <vertAlign val="baseline"/>
        <sz val="16"/>
        <color theme="4"/>
        <name val="Univers"/>
        <family val="2"/>
        <scheme val="major"/>
      </font>
      <fill>
        <patternFill patternType="none">
          <fgColor indexed="64"/>
          <bgColor auto="1"/>
        </patternFill>
      </fill>
      <alignment horizontal="left" vertical="top" textRotation="0" wrapText="0" indent="2" justifyLastLine="0" shrinkToFit="0" readingOrder="0"/>
    </dxf>
    <dxf>
      <font>
        <b val="0"/>
        <strike val="0"/>
        <outline val="0"/>
        <shadow val="0"/>
        <u val="none"/>
        <vertAlign val="baseline"/>
        <sz val="10"/>
        <color theme="4"/>
        <name val="Univers"/>
        <family val="2"/>
        <scheme val="minor"/>
      </font>
      <numFmt numFmtId="34" formatCode="_(&quot;$&quot;* #,##0.00_);_(&quot;$&quot;* \(#,##0.00\);_(&quot;$&quot;* &quot;-&quot;??_);_(@_)"/>
      <fill>
        <patternFill patternType="none">
          <fgColor indexed="64"/>
          <bgColor indexed="65"/>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numFmt numFmtId="2" formatCode="0.00"/>
      <fill>
        <patternFill patternType="none">
          <fgColor indexed="64"/>
          <bgColor auto="1"/>
        </patternFill>
      </fill>
      <alignment horizontal="center" vertical="center" textRotation="0"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left" vertical="center" textRotation="0"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wrapText="1" indent="1" justifyLastLine="0" shrinkToFit="0" readingOrder="0"/>
      <protection locked="1" hidden="0"/>
    </dxf>
    <dxf>
      <font>
        <b val="0"/>
        <strike val="0"/>
        <outline val="0"/>
        <shadow val="0"/>
        <u val="none"/>
        <vertAlign val="baseline"/>
        <sz val="10"/>
        <color theme="4"/>
        <name val="Univers"/>
        <family val="2"/>
        <scheme val="minor"/>
      </font>
      <fill>
        <patternFill patternType="none">
          <fgColor indexed="64"/>
          <bgColor auto="1"/>
        </patternFill>
      </fill>
      <alignment horizontal="center" vertical="center" textRotation="0" indent="1" justifyLastLine="0" shrinkToFit="0" readingOrder="0"/>
      <protection locked="1" hidden="0"/>
    </dxf>
    <dxf>
      <font>
        <b val="0"/>
        <strike val="0"/>
        <outline val="0"/>
        <shadow val="0"/>
        <u val="none"/>
        <vertAlign val="baseline"/>
        <sz val="10"/>
        <color theme="4"/>
        <name val="Univers"/>
        <family val="2"/>
        <scheme val="minor"/>
      </font>
      <numFmt numFmtId="0" formatCode="General"/>
      <fill>
        <patternFill patternType="none">
          <fgColor indexed="64"/>
          <bgColor auto="1"/>
        </patternFill>
      </fill>
      <alignment horizontal="center" vertical="center" textRotation="0" indent="1" justifyLastLine="0" shrinkToFit="0" readingOrder="0"/>
      <protection locked="1" hidden="0"/>
    </dxf>
    <dxf>
      <font>
        <b val="0"/>
        <i val="0"/>
        <strike val="0"/>
        <condense val="0"/>
        <extend val="0"/>
        <outline val="0"/>
        <shadow val="0"/>
        <u val="none"/>
        <vertAlign val="baseline"/>
        <sz val="12"/>
        <color theme="4"/>
        <name val="Univers"/>
        <family val="2"/>
        <scheme val="minor"/>
      </font>
      <fill>
        <patternFill patternType="none">
          <fgColor indexed="64"/>
          <bgColor auto="1"/>
        </patternFill>
      </fill>
      <alignment horizontal="left" vertical="center" textRotation="0" wrapText="1" indent="2" justifyLastLine="0" shrinkToFit="0" readingOrder="0"/>
    </dxf>
    <dxf>
      <font>
        <b/>
        <strike val="0"/>
        <outline val="0"/>
        <shadow val="0"/>
        <u val="none"/>
        <vertAlign val="baseline"/>
        <sz val="10"/>
        <color theme="4"/>
        <name val="Univers"/>
        <family val="2"/>
        <scheme val="major"/>
      </font>
      <fill>
        <patternFill patternType="none">
          <fgColor indexed="64"/>
          <bgColor auto="1"/>
        </patternFill>
      </fill>
      <alignment horizontal="left" vertical="center" textRotation="0" relativeIndent="1" justifyLastLine="0" shrinkToFit="0" readingOrder="0"/>
    </dxf>
    <dxf>
      <font>
        <strike val="0"/>
        <outline val="0"/>
        <shadow val="0"/>
        <u val="none"/>
        <vertAlign val="baseline"/>
        <sz val="10"/>
        <color theme="4"/>
        <name val="Univers"/>
        <family val="2"/>
        <scheme val="minor"/>
      </font>
      <fill>
        <patternFill patternType="none">
          <fgColor indexed="64"/>
          <bgColor auto="1"/>
        </patternFill>
      </fill>
      <alignment horizontal="left" vertical="center" textRotation="0" indent="1" justifyLastLine="0" shrinkToFit="0" readingOrder="0"/>
    </dxf>
    <dxf>
      <font>
        <b/>
        <i val="0"/>
        <strike val="0"/>
        <condense val="0"/>
        <extend val="0"/>
        <outline val="0"/>
        <shadow val="0"/>
        <u val="none"/>
        <vertAlign val="baseline"/>
        <sz val="16"/>
        <color theme="4"/>
        <name val="Univers"/>
        <family val="2"/>
        <scheme val="major"/>
      </font>
      <fill>
        <patternFill patternType="none">
          <fgColor indexed="64"/>
          <bgColor auto="1"/>
        </patternFill>
      </fill>
      <alignment horizontal="left" vertical="top" textRotation="0" wrapText="0" indent="2" justifyLastLine="0" shrinkToFit="0" readingOrder="0"/>
    </dxf>
    <dxf>
      <fill>
        <patternFill>
          <bgColor theme="4" tint="0.749961851863155"/>
        </patternFill>
      </fill>
      <border>
        <left style="medium">
          <color theme="4"/>
        </left>
        <right style="medium">
          <color theme="4"/>
        </right>
        <top style="thin">
          <color theme="4"/>
        </top>
        <bottom style="thin">
          <color theme="4"/>
        </bottom>
        <vertical style="thin">
          <color theme="4"/>
        </vertical>
        <horizontal style="thin">
          <color theme="4"/>
        </horizontal>
      </border>
    </dxf>
    <dxf>
      <border>
        <left/>
      </border>
    </dxf>
    <dxf>
      <font>
        <b/>
        <i val="0"/>
        <color theme="1"/>
      </font>
      <border>
        <left style="medium">
          <color theme="4"/>
        </left>
        <right/>
        <top style="thick">
          <color theme="4"/>
        </top>
        <bottom style="thin">
          <color theme="4"/>
        </bottom>
      </border>
    </dxf>
    <dxf>
      <font>
        <b val="0"/>
        <i val="0"/>
        <color theme="4"/>
      </font>
      <fill>
        <patternFill>
          <bgColor theme="4" tint="0.89996032593768116"/>
        </patternFill>
      </fill>
      <border diagonalUp="0" diagonalDown="0">
        <left/>
        <right/>
        <top/>
        <bottom style="thick">
          <color theme="4"/>
        </bottom>
        <vertical/>
        <horizontal/>
      </border>
    </dxf>
    <dxf>
      <font>
        <b/>
        <i val="0"/>
        <color theme="3" tint="9.9948118533890809E-2"/>
      </font>
      <fill>
        <patternFill>
          <bgColor theme="0"/>
        </patternFill>
      </fill>
      <border>
        <left style="medium">
          <color theme="4"/>
        </left>
        <right style="medium">
          <color theme="4"/>
        </right>
        <top style="thick">
          <color theme="4"/>
        </top>
        <bottom style="thick">
          <color theme="4"/>
        </bottom>
        <vertical style="thin">
          <color theme="4"/>
        </vertical>
        <horizontal style="thin">
          <color theme="4"/>
        </horizontal>
      </border>
    </dxf>
  </dxfs>
  <tableStyles count="1" defaultTableStyle="Weekly Task List" defaultPivotStyle="PivotStyleLight16">
    <tableStyle name="Weekly Task List" pivot="0" count="5" xr9:uid="{00000000-0011-0000-FFFF-FFFF00000000}">
      <tableStyleElement type="wholeTable" dxfId="52"/>
      <tableStyleElement type="headerRow" dxfId="51"/>
      <tableStyleElement type="firstColumn" dxfId="50"/>
      <tableStyleElement type="lastColumn" dxfId="49"/>
      <tableStyleElement type="secondRowStripe" dxfId="48"/>
    </tableStyle>
  </tableStyles>
  <colors>
    <mruColors>
      <color rgb="FFFFF2A3"/>
      <color rgb="FFFFF8CD"/>
      <color rgb="FFC2B9F1"/>
      <color rgb="FFA799EB"/>
      <color rgb="FFA162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9</xdr:col>
      <xdr:colOff>1568304</xdr:colOff>
      <xdr:row>1</xdr:row>
      <xdr:rowOff>70794</xdr:rowOff>
    </xdr:from>
    <xdr:to>
      <xdr:col>10</xdr:col>
      <xdr:colOff>250612</xdr:colOff>
      <xdr:row>1</xdr:row>
      <xdr:rowOff>585134</xdr:rowOff>
    </xdr:to>
    <xdr:sp macro="" textlink="">
      <xdr:nvSpPr>
        <xdr:cNvPr id="4" name="Rectangle 3">
          <a:extLst>
            <a:ext uri="{FF2B5EF4-FFF2-40B4-BE49-F238E27FC236}">
              <a16:creationId xmlns:a16="http://schemas.microsoft.com/office/drawing/2014/main" id="{5AC84B14-439E-96F3-E214-B5317F080DF9}"/>
            </a:ext>
            <a:ext uri="{C183D7F6-B498-43B3-948B-1728B52AA6E4}">
              <adec:decorative xmlns:adec="http://schemas.microsoft.com/office/drawing/2017/decorative" val="1"/>
            </a:ext>
          </a:extLst>
        </xdr:cNvPr>
        <xdr:cNvSpPr/>
      </xdr:nvSpPr>
      <xdr:spPr>
        <a:xfrm rot="18935287">
          <a:off x="13922582" y="324794"/>
          <a:ext cx="474419" cy="514340"/>
        </a:xfrm>
        <a:prstGeom prst="rect">
          <a:avLst/>
        </a:prstGeom>
        <a:solidFill>
          <a:schemeClr val="accent1">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1479817</xdr:colOff>
      <xdr:row>9</xdr:row>
      <xdr:rowOff>49741</xdr:rowOff>
    </xdr:from>
    <xdr:to>
      <xdr:col>5</xdr:col>
      <xdr:colOff>254821</xdr:colOff>
      <xdr:row>9</xdr:row>
      <xdr:rowOff>616626</xdr:rowOff>
    </xdr:to>
    <xdr:sp macro="" textlink="">
      <xdr:nvSpPr>
        <xdr:cNvPr id="5" name="Rectangle 4">
          <a:extLst>
            <a:ext uri="{FF2B5EF4-FFF2-40B4-BE49-F238E27FC236}">
              <a16:creationId xmlns:a16="http://schemas.microsoft.com/office/drawing/2014/main" id="{00B3F88B-93F5-4677-B238-A2920421C8DE}"/>
            </a:ext>
            <a:ext uri="{147F2762-F138-4A5C-976F-8EAC2B608ADB}">
              <a16:predDERef xmlns:a16="http://schemas.microsoft.com/office/drawing/2014/main" pred="{5AC84B14-439E-96F3-E214-B5317F080DF9}"/>
            </a:ext>
            <a:ext uri="{C183D7F6-B498-43B3-948B-1728B52AA6E4}">
              <adec:decorative xmlns:adec="http://schemas.microsoft.com/office/drawing/2017/decorative" val="1"/>
            </a:ext>
          </a:extLst>
        </xdr:cNvPr>
        <xdr:cNvSpPr/>
      </xdr:nvSpPr>
      <xdr:spPr>
        <a:xfrm rot="18935287">
          <a:off x="4873539" y="6018741"/>
          <a:ext cx="567115" cy="566885"/>
        </a:xfrm>
        <a:prstGeom prst="rect">
          <a:avLst/>
        </a:prstGeom>
        <a:solidFill>
          <a:schemeClr val="accent1">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1568304</xdr:colOff>
      <xdr:row>1</xdr:row>
      <xdr:rowOff>70794</xdr:rowOff>
    </xdr:from>
    <xdr:to>
      <xdr:col>11</xdr:col>
      <xdr:colOff>250612</xdr:colOff>
      <xdr:row>1</xdr:row>
      <xdr:rowOff>585134</xdr:rowOff>
    </xdr:to>
    <xdr:sp macro="" textlink="">
      <xdr:nvSpPr>
        <xdr:cNvPr id="3" name="Rectangle 3">
          <a:extLst>
            <a:ext uri="{FF2B5EF4-FFF2-40B4-BE49-F238E27FC236}">
              <a16:creationId xmlns:a16="http://schemas.microsoft.com/office/drawing/2014/main" id="{371FFD5F-2378-4B87-BC0C-FA28630927D6}"/>
            </a:ext>
            <a:ext uri="{147F2762-F138-4A5C-976F-8EAC2B608ADB}">
              <a16:predDERef xmlns:a16="http://schemas.microsoft.com/office/drawing/2014/main" pred="{00B3F88B-93F5-4677-B238-A2920421C8DE}"/>
            </a:ext>
            <a:ext uri="{C183D7F6-B498-43B3-948B-1728B52AA6E4}">
              <adec:decorative xmlns:adec="http://schemas.microsoft.com/office/drawing/2017/decorative" val="1"/>
            </a:ext>
          </a:extLst>
        </xdr:cNvPr>
        <xdr:cNvSpPr/>
      </xdr:nvSpPr>
      <xdr:spPr>
        <a:xfrm rot="18935287">
          <a:off x="13703154" y="318444"/>
          <a:ext cx="444433" cy="514340"/>
        </a:xfrm>
        <a:prstGeom prst="rect">
          <a:avLst/>
        </a:prstGeom>
        <a:solidFill>
          <a:schemeClr val="accent1">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1568304</xdr:colOff>
      <xdr:row>0</xdr:row>
      <xdr:rowOff>70794</xdr:rowOff>
    </xdr:from>
    <xdr:to>
      <xdr:col>11</xdr:col>
      <xdr:colOff>250612</xdr:colOff>
      <xdr:row>0</xdr:row>
      <xdr:rowOff>585134</xdr:rowOff>
    </xdr:to>
    <xdr:sp macro="" textlink="">
      <xdr:nvSpPr>
        <xdr:cNvPr id="6" name="Rectangle 3">
          <a:extLst>
            <a:ext uri="{FF2B5EF4-FFF2-40B4-BE49-F238E27FC236}">
              <a16:creationId xmlns:a16="http://schemas.microsoft.com/office/drawing/2014/main" id="{DD1BCF10-9320-4CC3-8D43-B8D99F9186F5}"/>
            </a:ext>
            <a:ext uri="{147F2762-F138-4A5C-976F-8EAC2B608ADB}">
              <a16:predDERef xmlns:a16="http://schemas.microsoft.com/office/drawing/2014/main" pred="{371FFD5F-2378-4B87-BC0C-FA28630927D6}"/>
            </a:ext>
            <a:ext uri="{C183D7F6-B498-43B3-948B-1728B52AA6E4}">
              <adec:decorative xmlns:adec="http://schemas.microsoft.com/office/drawing/2017/decorative" val="1"/>
            </a:ext>
          </a:extLst>
        </xdr:cNvPr>
        <xdr:cNvSpPr/>
      </xdr:nvSpPr>
      <xdr:spPr>
        <a:xfrm rot="18935287">
          <a:off x="13703154" y="318444"/>
          <a:ext cx="444433" cy="514340"/>
        </a:xfrm>
        <a:prstGeom prst="rect">
          <a:avLst/>
        </a:prstGeom>
        <a:solidFill>
          <a:schemeClr val="accent1">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1568304</xdr:colOff>
      <xdr:row>0</xdr:row>
      <xdr:rowOff>70794</xdr:rowOff>
    </xdr:from>
    <xdr:to>
      <xdr:col>12</xdr:col>
      <xdr:colOff>250612</xdr:colOff>
      <xdr:row>0</xdr:row>
      <xdr:rowOff>585134</xdr:rowOff>
    </xdr:to>
    <xdr:sp macro="" textlink="">
      <xdr:nvSpPr>
        <xdr:cNvPr id="7" name="Rectangle 3">
          <a:extLst>
            <a:ext uri="{FF2B5EF4-FFF2-40B4-BE49-F238E27FC236}">
              <a16:creationId xmlns:a16="http://schemas.microsoft.com/office/drawing/2014/main" id="{6F00F0FC-0600-446C-9895-D06ED5204DB7}"/>
            </a:ext>
            <a:ext uri="{147F2762-F138-4A5C-976F-8EAC2B608ADB}">
              <a16:predDERef xmlns:a16="http://schemas.microsoft.com/office/drawing/2014/main" pred="{DD1BCF10-9320-4CC3-8D43-B8D99F9186F5}"/>
            </a:ext>
            <a:ext uri="{C183D7F6-B498-43B3-948B-1728B52AA6E4}">
              <adec:decorative xmlns:adec="http://schemas.microsoft.com/office/drawing/2017/decorative" val="1"/>
            </a:ext>
          </a:extLst>
        </xdr:cNvPr>
        <xdr:cNvSpPr/>
      </xdr:nvSpPr>
      <xdr:spPr>
        <a:xfrm rot="18935287">
          <a:off x="15465279" y="318444"/>
          <a:ext cx="358708" cy="514340"/>
        </a:xfrm>
        <a:prstGeom prst="rect">
          <a:avLst/>
        </a:prstGeom>
        <a:solidFill>
          <a:schemeClr val="accent1">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4073113</xdr:colOff>
      <xdr:row>1</xdr:row>
      <xdr:rowOff>67317</xdr:rowOff>
    </xdr:from>
    <xdr:to>
      <xdr:col>5</xdr:col>
      <xdr:colOff>264557</xdr:colOff>
      <xdr:row>1</xdr:row>
      <xdr:rowOff>605824</xdr:rowOff>
    </xdr:to>
    <xdr:sp macro="" textlink="">
      <xdr:nvSpPr>
        <xdr:cNvPr id="4" name="Rectangle 3">
          <a:extLst>
            <a:ext uri="{FF2B5EF4-FFF2-40B4-BE49-F238E27FC236}">
              <a16:creationId xmlns:a16="http://schemas.microsoft.com/office/drawing/2014/main" id="{0292642A-F9BE-4C79-8346-BE22AAD1CD19}"/>
            </a:ext>
            <a:ext uri="{C183D7F6-B498-43B3-948B-1728B52AA6E4}">
              <adec:decorative xmlns:adec="http://schemas.microsoft.com/office/drawing/2017/decorative" val="1"/>
            </a:ext>
          </a:extLst>
        </xdr:cNvPr>
        <xdr:cNvSpPr/>
      </xdr:nvSpPr>
      <xdr:spPr>
        <a:xfrm rot="18935287">
          <a:off x="7078780" y="321317"/>
          <a:ext cx="537666" cy="538507"/>
        </a:xfrm>
        <a:prstGeom prst="rect">
          <a:avLst/>
        </a:prstGeom>
        <a:solidFill>
          <a:schemeClr val="accent1">
            <a:lumMod val="10000"/>
            <a:lumOff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skSchedule" displayName="TaskSchedule" ref="B5:M9" totalsRowShown="0" headerRowDxfId="47" dataDxfId="46" headerRowCellStyle="Heading 2" dataCellStyle="Normal">
  <autoFilter ref="B5:M9" xr:uid="{00000000-000C-0000-FFFF-FFFF0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000-000001000000}" name="Person" dataDxfId="45" dataCellStyle="Normal"/>
    <tableColumn id="9" xr3:uid="{9CE81357-EA31-49D0-BBAC-9CF6C58439A9}" name="Column1" dataDxfId="44"/>
    <tableColumn id="2" xr3:uid="{00000000-0010-0000-0000-000002000000}" name="Friday" dataDxfId="43" dataCellStyle="Normal">
      <calculatedColumnFormula>IFERROR(INDEX(TaskList[],MATCH($D$4&amp;$B6,TaskList[[ ]],0),3),"")</calculatedColumnFormula>
    </tableColumn>
    <tableColumn id="3" xr3:uid="{00000000-0010-0000-0000-000003000000}" name="Saturday" dataDxfId="42" dataCellStyle="Normal">
      <calculatedColumnFormula>IFERROR(INDEX(TaskList[],MATCH($E$4&amp;$B6,TaskList[[ ]],0),3),"")</calculatedColumnFormula>
    </tableColumn>
    <tableColumn id="4" xr3:uid="{00000000-0010-0000-0000-000004000000}" name="Sunday" dataDxfId="41" dataCellStyle="Normal"/>
    <tableColumn id="5" xr3:uid="{00000000-0010-0000-0000-000005000000}" name="Monday" dataDxfId="40" dataCellStyle="Normal"/>
    <tableColumn id="6" xr3:uid="{00000000-0010-0000-0000-000006000000}" name="Tuesday" dataDxfId="39" dataCellStyle="Normal"/>
    <tableColumn id="7" xr3:uid="{00000000-0010-0000-0000-000007000000}" name="Wednesday" dataDxfId="38" dataCellStyle="Normal"/>
    <tableColumn id="8" xr3:uid="{00000000-0010-0000-0000-000008000000}" name="Thursday" dataDxfId="37" dataCellStyle="Normal"/>
    <tableColumn id="10" xr3:uid="{45D81A0C-1BFC-4FEC-B69C-81F4A8213569}" name="Hourly Rate" dataDxfId="36" dataCellStyle="Normal"/>
    <tableColumn id="11" xr3:uid="{648B8DCA-4097-4B74-BF43-E4F63F757859}" name="Hours Worked" dataDxfId="35" dataCellStyle="Normal"/>
    <tableColumn id="13" xr3:uid="{54CF5464-D628-46F3-BE7A-9D91CEF3233C}" name="Total Compensation" dataDxfId="34" dataCellStyle="Normal"/>
  </tableColumns>
  <tableStyleInfo name="Weekly Task List" showFirstColumn="1" showLastColumn="0" showRowStripes="1" showColumnStripes="0"/>
  <extLst>
    <ext xmlns:x14="http://schemas.microsoft.com/office/spreadsheetml/2009/9/main" uri="{504A1905-F514-4f6f-8877-14C23A59335A}">
      <x14:table altTextSummary="Enter Class titles in first column of this table &amp; other columns are automatically updated from the Assignment/Tasks entered in Task List workshee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4C32F9-D4D6-4692-AB5C-DFCF880DE04F}" name="TaskSchedule4" displayName="TaskSchedule4" ref="B13:M17" totalsRowShown="0" headerRowDxfId="33" dataDxfId="32" headerRowCellStyle="Heading 2" dataCellStyle="Normal">
  <autoFilter ref="B13:M17" xr:uid="{BB4C32F9-D4D6-4692-AB5C-DFCF880DE04F}"/>
  <tableColumns count="12">
    <tableColumn id="1" xr3:uid="{32F7C35C-D7DA-4353-9DF4-F0A221DE611A}" name="Person" dataDxfId="31" dataCellStyle="Normal"/>
    <tableColumn id="9" xr3:uid="{DF55414F-B35C-4EC7-9CD1-EA7F960AC582}" name="Column1" dataDxfId="30"/>
    <tableColumn id="2" xr3:uid="{3BC72CD4-7BDD-4919-84C8-E3551EFD7192}" name="Friday" dataDxfId="29" dataCellStyle="Normal">
      <calculatedColumnFormula>IFERROR(INDEX(TaskList[],MATCH($D$4&amp;$B14,TaskList[[ ]],0),3),"")</calculatedColumnFormula>
    </tableColumn>
    <tableColumn id="3" xr3:uid="{53771DBE-03A8-4F09-8EC3-2EC7688A7615}" name="Saturday" dataDxfId="28" dataCellStyle="Normal">
      <calculatedColumnFormula>IFERROR(INDEX(TaskList[],MATCH($E$4&amp;$B14,TaskList[[ ]],0),3),"")</calculatedColumnFormula>
    </tableColumn>
    <tableColumn id="4" xr3:uid="{B24A314E-AA0A-40B7-A352-069951EA0AE7}" name="Sunday" dataDxfId="27" dataCellStyle="Normal"/>
    <tableColumn id="5" xr3:uid="{98FCE951-457D-4D42-94F2-B41CC89C542A}" name="Monday" dataDxfId="26" dataCellStyle="Normal"/>
    <tableColumn id="6" xr3:uid="{F07918B3-A174-4C2E-954A-AC075AB804F9}" name="Tuesday" dataDxfId="25" dataCellStyle="Normal"/>
    <tableColumn id="7" xr3:uid="{0C10D904-4B46-4C15-9F6F-B6348F7E7F0F}" name="Wednesday" dataDxfId="24" dataCellStyle="Normal"/>
    <tableColumn id="8" xr3:uid="{45853862-B581-4638-AEA3-01BF662311BD}" name="Thursday" dataDxfId="23" dataCellStyle="Normal"/>
    <tableColumn id="10" xr3:uid="{E280C7C0-A175-4DA6-8EE2-99C6C5351430}" name="Hourly Rate" dataDxfId="22" dataCellStyle="Normal"/>
    <tableColumn id="11" xr3:uid="{2ECDC643-B9D3-4FEC-9AB0-90EA789F20B1}" name="Hours Worked" dataDxfId="21" dataCellStyle="Normal">
      <calculatedColumnFormula>SUM(L11:L14)</calculatedColumnFormula>
    </tableColumn>
    <tableColumn id="12" xr3:uid="{DD1B3E6A-1F30-43B0-A6C9-CB5B41347321}" name="Total Compensation" dataDxfId="20" dataCellStyle="Normal"/>
  </tableColumns>
  <tableStyleInfo name="Weekly Task List" showFirstColumn="1" showLastColumn="0" showRowStripes="1" showColumnStripes="0"/>
  <extLst>
    <ext xmlns:x14="http://schemas.microsoft.com/office/spreadsheetml/2009/9/main" uri="{504A1905-F514-4f6f-8877-14C23A59335A}">
      <x14:table altTextSummary="Enter Class titles in first column of this table &amp; other columns are automatically updated from the Assignment/Tasks entered in Task List workshee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E268BC-4FD5-40BB-9B28-195DC6C30577}" name="TaskSchedule5" displayName="TaskSchedule5" ref="B19:M23" totalsRowShown="0" headerRowDxfId="19" dataDxfId="18" headerRowCellStyle="Heading 2" dataCellStyle="Normal">
  <autoFilter ref="B19:M23" xr:uid="{13E268BC-4FD5-40BB-9B28-195DC6C30577}"/>
  <tableColumns count="12">
    <tableColumn id="1" xr3:uid="{1C91B4A8-D323-4CA3-95A3-964929898F27}" name="Person" dataDxfId="17" dataCellStyle="Normal"/>
    <tableColumn id="9" xr3:uid="{C046278E-E20F-4B4A-9CB1-B33F2C0FB16B}" name="Column1" dataDxfId="16"/>
    <tableColumn id="2" xr3:uid="{81DAABDC-E67D-42B5-8F7E-D1C5373C763C}" name="Friday" dataDxfId="15" dataCellStyle="Normal">
      <calculatedColumnFormula>IFERROR(INDEX(TaskList[],MATCH($D$4&amp;$B20,TaskList[[ ]],0),3),"")</calculatedColumnFormula>
    </tableColumn>
    <tableColumn id="3" xr3:uid="{A4134A84-3027-4C38-AF75-6BCD171C8263}" name="Saturday" dataDxfId="14" dataCellStyle="Normal"/>
    <tableColumn id="4" xr3:uid="{AE6481E4-4B0A-4EF4-ACFC-FF2DC743A76A}" name="Sunday" dataDxfId="13" dataCellStyle="Normal"/>
    <tableColumn id="5" xr3:uid="{C738CA1B-7665-4795-A176-7770E152E204}" name="Monday" dataDxfId="12" dataCellStyle="Normal"/>
    <tableColumn id="6" xr3:uid="{3008BBD6-070C-41C5-B64C-95466D3CD23D}" name="Tuesday" dataDxfId="11" dataCellStyle="Normal"/>
    <tableColumn id="7" xr3:uid="{DF26A6D6-40C3-44D9-9321-CC54B0FEB2EF}" name="Wednesday" dataDxfId="10" dataCellStyle="Normal"/>
    <tableColumn id="8" xr3:uid="{1351401B-C6CD-4F66-9031-0716FA32970D}" name="Thursday" dataDxfId="9" dataCellStyle="Normal"/>
    <tableColumn id="10" xr3:uid="{5BE5A4B3-232C-4B75-8572-3731999B8783}" name="Hourly Rate" dataDxfId="8" dataCellStyle="Normal">
      <calculatedColumnFormula>K6</calculatedColumnFormula>
    </tableColumn>
    <tableColumn id="11" xr3:uid="{08AD5D2E-B07E-4B54-8F4C-E31D2A5C6726}" name="Hours Worked" dataDxfId="7" dataCellStyle="Normal"/>
    <tableColumn id="12" xr3:uid="{ABA2BB64-22D2-4A45-8909-FD1253685BF4}" name="Total Compensation" dataDxfId="6" dataCellStyle="Normal"/>
  </tableColumns>
  <tableStyleInfo name="Weekly Task List" showFirstColumn="1" showLastColumn="0" showRowStripes="1" showColumnStripes="0"/>
  <extLst>
    <ext xmlns:x14="http://schemas.microsoft.com/office/spreadsheetml/2009/9/main" uri="{504A1905-F514-4f6f-8877-14C23A59335A}">
      <x14:table altTextSummary="Enter Class titles in first column of this table &amp; other columns are automatically updated from the Assignment/Tasks entered in Task List workshee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skList" displayName="TaskList" ref="B4:E13" totalsRowShown="0" headerRowDxfId="5" dataDxfId="4" headerRowCellStyle="Heading 2">
  <autoFilter ref="B4:E13" xr:uid="{00000000-0009-0000-0100-000001000000}">
    <filterColumn colId="0" hiddenButton="1"/>
    <filterColumn colId="1" hiddenButton="1"/>
    <filterColumn colId="2" hiddenButton="1"/>
    <filterColumn colId="3" hiddenButton="1"/>
  </autoFilter>
  <sortState xmlns:xlrd2="http://schemas.microsoft.com/office/spreadsheetml/2017/richdata2" ref="B6:E14">
    <sortCondition ref="B5:B14"/>
  </sortState>
  <tableColumns count="4">
    <tableColumn id="1" xr3:uid="{00000000-0010-0000-0100-000001000000}" name="Date" dataDxfId="3" dataCellStyle="Date"/>
    <tableColumn id="3" xr3:uid="{00000000-0010-0000-0100-000003000000}" name="Person(s)" dataDxfId="2" dataCellStyle="Normal"/>
    <tableColumn id="4" xr3:uid="{00000000-0010-0000-0100-000004000000}" name="Assignment/Task" dataDxfId="1" dataCellStyle="Normal"/>
    <tableColumn id="2" xr3:uid="{00000000-0010-0000-0100-000002000000}" name=" " dataDxfId="0">
      <calculatedColumnFormula>TaskList[[#This Row],[Date]]&amp;TaskList[[#This Row],[Person(s)]]</calculatedColumnFormula>
    </tableColumn>
  </tableColumns>
  <tableStyleInfo name="Weekly Task List" showFirstColumn="0" showLastColumn="1" showRowStripes="1" showColumnStripes="0"/>
  <extLst>
    <ext xmlns:x14="http://schemas.microsoft.com/office/spreadsheetml/2009/9/main" uri="{504A1905-F514-4f6f-8877-14C23A59335A}">
      <x14:table altTextSummary="Enter date, class, and assignment or task. Use table filters to find specific entries"/>
    </ext>
  </extLst>
</table>
</file>

<file path=xl/theme/theme1.xml><?xml version="1.0" encoding="utf-8"?>
<a:theme xmlns:a="http://schemas.openxmlformats.org/drawingml/2006/main" name="Office Theme">
  <a:themeElements>
    <a:clrScheme name="Custom 198">
      <a:dk1>
        <a:sysClr val="windowText" lastClr="000000"/>
      </a:dk1>
      <a:lt1>
        <a:sysClr val="window" lastClr="FFFFFF"/>
      </a:lt1>
      <a:dk2>
        <a:srgbClr val="464646"/>
      </a:dk2>
      <a:lt2>
        <a:srgbClr val="F0F0F0"/>
      </a:lt2>
      <a:accent1>
        <a:srgbClr val="002060"/>
      </a:accent1>
      <a:accent2>
        <a:srgbClr val="5ACBCE"/>
      </a:accent2>
      <a:accent3>
        <a:srgbClr val="BF1A8D"/>
      </a:accent3>
      <a:accent4>
        <a:srgbClr val="7FAC39"/>
      </a:accent4>
      <a:accent5>
        <a:srgbClr val="FF6927"/>
      </a:accent5>
      <a:accent6>
        <a:srgbClr val="5B7799"/>
      </a:accent6>
      <a:hlink>
        <a:srgbClr val="1ECBCE"/>
      </a:hlink>
      <a:folHlink>
        <a:srgbClr val="5B7799"/>
      </a:folHlink>
    </a:clrScheme>
    <a:fontScheme name="Custom 19">
      <a:majorFont>
        <a:latin typeface="Univers"/>
        <a:ea typeface=""/>
        <a:cs typeface=""/>
      </a:majorFont>
      <a:minorFont>
        <a:latin typeface="Univer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fitToPage="1"/>
  </sheetPr>
  <dimension ref="A1:N23"/>
  <sheetViews>
    <sheetView showGridLines="0" showZeros="0" tabSelected="1" topLeftCell="A19" zoomScaleNormal="100" workbookViewId="0">
      <selection activeCell="M23" sqref="M23"/>
    </sheetView>
  </sheetViews>
  <sheetFormatPr defaultColWidth="9.125" defaultRowHeight="60" customHeight="1"/>
  <cols>
    <col min="1" max="1" width="5.125" customWidth="1"/>
    <col min="2" max="2" width="14.125" customWidth="1"/>
    <col min="3" max="3" width="4.375" style="4" hidden="1" customWidth="1"/>
    <col min="4" max="10" width="23.125" customWidth="1"/>
    <col min="11" max="11" width="22" customWidth="1"/>
    <col min="12" max="12" width="29.875" customWidth="1"/>
    <col min="13" max="13" width="30.25" customWidth="1"/>
  </cols>
  <sheetData>
    <row r="1" spans="1:13" ht="19.899999999999999" customHeight="1">
      <c r="A1" s="5"/>
      <c r="B1" s="5"/>
      <c r="C1" s="6"/>
      <c r="D1" s="5"/>
      <c r="E1" s="5"/>
      <c r="F1" s="5"/>
      <c r="G1" s="5"/>
      <c r="H1" s="5"/>
      <c r="I1" s="5"/>
      <c r="J1" s="7"/>
      <c r="K1" s="7"/>
      <c r="L1" s="7"/>
      <c r="M1" s="2"/>
    </row>
    <row r="2" spans="1:13" ht="49.9" customHeight="1">
      <c r="A2" s="8"/>
      <c r="B2" s="20" t="s">
        <v>0</v>
      </c>
      <c r="C2" s="9"/>
      <c r="D2" s="10"/>
      <c r="E2" s="8"/>
      <c r="F2" s="8"/>
      <c r="G2" s="11"/>
      <c r="H2" s="8"/>
      <c r="I2" s="71"/>
      <c r="J2" s="71"/>
      <c r="K2" s="7"/>
      <c r="L2" s="7"/>
      <c r="M2" s="2"/>
    </row>
    <row r="3" spans="1:13" s="1" customFormat="1" ht="19.899999999999999" customHeight="1">
      <c r="A3" s="2"/>
      <c r="B3" s="12"/>
      <c r="C3" s="13"/>
      <c r="D3" s="2"/>
      <c r="E3" s="14"/>
      <c r="F3" s="2"/>
      <c r="G3" s="2"/>
      <c r="H3" s="2"/>
      <c r="I3" s="2"/>
      <c r="J3" s="2"/>
      <c r="K3" s="2"/>
      <c r="L3" s="2"/>
      <c r="M3" s="2"/>
    </row>
    <row r="4" spans="1:13" s="26" customFormat="1" ht="25.15" customHeight="1">
      <c r="A4" s="21"/>
      <c r="B4" s="22" t="s">
        <v>1</v>
      </c>
      <c r="C4" s="23"/>
      <c r="D4" s="24">
        <f>StartDate+0</f>
        <v>46094</v>
      </c>
      <c r="E4" s="24">
        <f>D4+1</f>
        <v>46095</v>
      </c>
      <c r="F4" s="24">
        <f t="shared" ref="F4" si="0">E4+1</f>
        <v>46096</v>
      </c>
      <c r="G4" s="24">
        <f t="shared" ref="G4" si="1">F4+1</f>
        <v>46097</v>
      </c>
      <c r="H4" s="24">
        <f t="shared" ref="H4" si="2">G4+1</f>
        <v>46098</v>
      </c>
      <c r="I4" s="24">
        <f t="shared" ref="I4" si="3">H4+1</f>
        <v>46099</v>
      </c>
      <c r="J4" s="24">
        <f t="shared" ref="J4" si="4">I4+1</f>
        <v>46100</v>
      </c>
      <c r="K4" s="25"/>
      <c r="L4" s="2"/>
      <c r="M4" s="2"/>
    </row>
    <row r="5" spans="1:13" s="27" customFormat="1" ht="25.15" customHeight="1">
      <c r="A5" s="17"/>
      <c r="B5" s="42" t="s">
        <v>2</v>
      </c>
      <c r="C5" s="43" t="s">
        <v>3</v>
      </c>
      <c r="D5" s="42" t="s">
        <v>4</v>
      </c>
      <c r="E5" s="42" t="s">
        <v>5</v>
      </c>
      <c r="F5" s="42" t="s">
        <v>6</v>
      </c>
      <c r="G5" s="42" t="s">
        <v>7</v>
      </c>
      <c r="H5" s="42" t="s">
        <v>8</v>
      </c>
      <c r="I5" s="42" t="s">
        <v>9</v>
      </c>
      <c r="J5" s="42" t="s">
        <v>10</v>
      </c>
      <c r="K5" s="47" t="s">
        <v>11</v>
      </c>
      <c r="L5" s="47" t="s">
        <v>12</v>
      </c>
      <c r="M5" s="47" t="s">
        <v>13</v>
      </c>
    </row>
    <row r="6" spans="1:13" ht="49.9" customHeight="1">
      <c r="A6" s="7"/>
      <c r="B6" s="69" t="s">
        <v>14</v>
      </c>
      <c r="C6" s="37"/>
      <c r="D6" s="48" t="s">
        <v>15</v>
      </c>
      <c r="E6" s="48"/>
      <c r="F6" s="48"/>
      <c r="G6" s="48"/>
      <c r="H6" s="48"/>
      <c r="I6" s="48"/>
      <c r="J6" s="48"/>
      <c r="K6" s="50">
        <v>20.010000000000002</v>
      </c>
      <c r="L6" s="49">
        <v>1</v>
      </c>
      <c r="M6" s="50">
        <f>SUM(K6*L6)</f>
        <v>20.010000000000002</v>
      </c>
    </row>
    <row r="7" spans="1:13" ht="49.9" customHeight="1">
      <c r="A7" s="7"/>
      <c r="B7" s="69" t="s">
        <v>16</v>
      </c>
      <c r="C7" s="37"/>
      <c r="D7" s="48"/>
      <c r="E7" s="48"/>
      <c r="F7" s="48" t="s">
        <v>17</v>
      </c>
      <c r="G7" s="48"/>
      <c r="H7" s="48"/>
      <c r="I7" s="48"/>
      <c r="J7" s="48"/>
      <c r="K7" s="50">
        <v>20</v>
      </c>
      <c r="L7" s="49">
        <v>1</v>
      </c>
      <c r="M7" s="50">
        <f>SUM(K7*L7)</f>
        <v>20</v>
      </c>
    </row>
    <row r="8" spans="1:13" ht="49.9" customHeight="1">
      <c r="A8" s="7"/>
      <c r="B8" s="69" t="s">
        <v>18</v>
      </c>
      <c r="C8" s="37"/>
      <c r="D8" s="48" t="s">
        <v>19</v>
      </c>
      <c r="E8" s="48"/>
      <c r="F8" s="48"/>
      <c r="G8" s="48"/>
      <c r="H8" s="48"/>
      <c r="I8" s="48"/>
      <c r="J8" s="48"/>
      <c r="K8" s="50">
        <v>20</v>
      </c>
      <c r="L8" s="49">
        <v>1</v>
      </c>
      <c r="M8" s="70">
        <v>20</v>
      </c>
    </row>
    <row r="9" spans="1:13" ht="49.9" customHeight="1">
      <c r="A9" s="51"/>
      <c r="B9" s="68" t="s">
        <v>20</v>
      </c>
      <c r="C9" s="52"/>
      <c r="D9" s="53"/>
      <c r="E9" s="53"/>
      <c r="F9" s="53"/>
      <c r="G9" s="53"/>
      <c r="H9" s="53"/>
      <c r="I9" s="53"/>
      <c r="J9" s="53"/>
      <c r="K9" s="55">
        <f>SUM(K6:K8)</f>
        <v>60.010000000000005</v>
      </c>
      <c r="L9" s="56">
        <f>SUM(L6:L8)</f>
        <v>3</v>
      </c>
      <c r="M9" s="55">
        <f>SUM(M6:M8)</f>
        <v>60.010000000000005</v>
      </c>
    </row>
    <row r="10" spans="1:13" ht="50.45" customHeight="1">
      <c r="A10" s="15"/>
      <c r="B10" s="72" t="s">
        <v>21</v>
      </c>
      <c r="C10" s="72"/>
      <c r="D10" s="72"/>
      <c r="E10" s="18">
        <v>46094</v>
      </c>
      <c r="F10" s="5"/>
      <c r="G10" s="5"/>
      <c r="H10" s="5"/>
      <c r="I10" s="5"/>
      <c r="J10" s="5"/>
      <c r="K10" s="2"/>
      <c r="L10" s="2"/>
      <c r="M10" s="2"/>
    </row>
    <row r="11" spans="1:13" ht="3" customHeight="1">
      <c r="A11" s="15"/>
      <c r="B11" s="5"/>
      <c r="C11" s="19"/>
      <c r="D11" s="3"/>
      <c r="E11" s="5"/>
      <c r="F11" s="5"/>
      <c r="G11" s="5"/>
      <c r="H11" s="5"/>
      <c r="I11" s="5"/>
      <c r="J11" s="5"/>
      <c r="K11" s="2"/>
      <c r="L11" s="2"/>
      <c r="M11" s="2"/>
    </row>
    <row r="12" spans="1:13" ht="19.899999999999999" customHeight="1">
      <c r="A12" s="16"/>
      <c r="B12" s="22">
        <f>YEAR(StartDate)</f>
        <v>2026</v>
      </c>
      <c r="C12" s="23"/>
      <c r="D12" s="24">
        <f>StartDate+7</f>
        <v>46101</v>
      </c>
      <c r="E12" s="24">
        <f>D12+1</f>
        <v>46102</v>
      </c>
      <c r="F12" s="24">
        <f t="shared" ref="F12" si="5">E12+1</f>
        <v>46103</v>
      </c>
      <c r="G12" s="24">
        <f t="shared" ref="G12" si="6">F12+1</f>
        <v>46104</v>
      </c>
      <c r="H12" s="24">
        <f t="shared" ref="H12" si="7">G12+1</f>
        <v>46105</v>
      </c>
      <c r="I12" s="24">
        <f t="shared" ref="I12" si="8">H12+1</f>
        <v>46106</v>
      </c>
      <c r="J12" s="24">
        <f t="shared" ref="J12" si="9">I12+1</f>
        <v>46107</v>
      </c>
      <c r="K12" s="2"/>
      <c r="L12" s="2"/>
      <c r="M12" s="2"/>
    </row>
    <row r="13" spans="1:13" ht="49.9" customHeight="1">
      <c r="A13" s="17"/>
      <c r="B13" s="42" t="s">
        <v>2</v>
      </c>
      <c r="C13" s="43" t="s">
        <v>3</v>
      </c>
      <c r="D13" s="42" t="s">
        <v>4</v>
      </c>
      <c r="E13" s="42" t="s">
        <v>5</v>
      </c>
      <c r="F13" s="42" t="s">
        <v>6</v>
      </c>
      <c r="G13" s="42" t="s">
        <v>7</v>
      </c>
      <c r="H13" s="42" t="s">
        <v>8</v>
      </c>
      <c r="I13" s="42" t="s">
        <v>9</v>
      </c>
      <c r="J13" s="42" t="s">
        <v>10</v>
      </c>
      <c r="K13" s="47" t="s">
        <v>11</v>
      </c>
      <c r="L13" s="47" t="s">
        <v>12</v>
      </c>
      <c r="M13" s="47" t="s">
        <v>13</v>
      </c>
    </row>
    <row r="14" spans="1:13" ht="57.75" customHeight="1">
      <c r="A14" s="5"/>
      <c r="B14" s="69" t="s">
        <v>14</v>
      </c>
      <c r="C14" s="37"/>
      <c r="D14" s="48"/>
      <c r="E14" s="48"/>
      <c r="F14" s="48"/>
      <c r="G14" s="48"/>
      <c r="H14" s="48"/>
      <c r="I14" s="48"/>
      <c r="J14" s="48" t="s">
        <v>22</v>
      </c>
      <c r="K14" s="50">
        <f>K6</f>
        <v>20.010000000000002</v>
      </c>
      <c r="L14" s="49">
        <v>1</v>
      </c>
      <c r="M14" s="50">
        <f>SUM(K14*L14)</f>
        <v>20.010000000000002</v>
      </c>
    </row>
    <row r="15" spans="1:13" ht="60" customHeight="1">
      <c r="A15" s="2"/>
      <c r="B15" s="69" t="s">
        <v>16</v>
      </c>
      <c r="C15" s="37"/>
      <c r="D15" s="48"/>
      <c r="E15" s="48"/>
      <c r="F15" s="48"/>
      <c r="G15" s="48"/>
      <c r="H15" s="48"/>
      <c r="I15" s="48"/>
      <c r="J15" s="48"/>
      <c r="K15" s="50">
        <f>K7</f>
        <v>20</v>
      </c>
      <c r="L15" s="49"/>
      <c r="M15" s="50">
        <f>SUM(K15*L15)</f>
        <v>0</v>
      </c>
    </row>
    <row r="16" spans="1:13" ht="60" customHeight="1">
      <c r="A16" s="2"/>
      <c r="B16" s="69" t="s">
        <v>18</v>
      </c>
      <c r="C16" s="37"/>
      <c r="D16" s="48"/>
      <c r="E16" s="48"/>
      <c r="F16" s="48"/>
      <c r="G16" s="48"/>
      <c r="H16" s="48"/>
      <c r="I16" s="48"/>
      <c r="J16" s="48"/>
      <c r="K16" s="50">
        <f>K8</f>
        <v>20</v>
      </c>
      <c r="L16" s="49"/>
      <c r="M16" s="50">
        <f>SUM(K16*L16)</f>
        <v>0</v>
      </c>
    </row>
    <row r="17" spans="1:14" ht="60" customHeight="1">
      <c r="A17" s="54"/>
      <c r="B17" s="67" t="s">
        <v>20</v>
      </c>
      <c r="C17" s="52"/>
      <c r="D17" s="53"/>
      <c r="E17" s="53"/>
      <c r="F17" s="53"/>
      <c r="G17" s="53"/>
      <c r="H17" s="53"/>
      <c r="I17" s="53"/>
      <c r="J17" s="53"/>
      <c r="K17" s="55">
        <f>SUM(K14:K16)</f>
        <v>60.010000000000005</v>
      </c>
      <c r="L17" s="56">
        <f>SUM(L14:L16)</f>
        <v>1</v>
      </c>
      <c r="M17" s="55">
        <f ca="1">SUM(M14:M17)</f>
        <v>0</v>
      </c>
    </row>
    <row r="18" spans="1:14" ht="60" customHeight="1">
      <c r="A18" s="2"/>
      <c r="B18" s="22">
        <f>YEAR(StartDate)</f>
        <v>2026</v>
      </c>
      <c r="C18" s="23"/>
      <c r="D18" s="24">
        <f>StartDate+14</f>
        <v>46108</v>
      </c>
      <c r="E18" s="24">
        <f>D18+1</f>
        <v>46109</v>
      </c>
      <c r="F18" s="24">
        <f t="shared" ref="F18" si="10">E18+1</f>
        <v>46110</v>
      </c>
      <c r="G18" s="24">
        <f t="shared" ref="G18" si="11">F18+1</f>
        <v>46111</v>
      </c>
      <c r="H18" s="24">
        <f t="shared" ref="H18" si="12">G18+1</f>
        <v>46112</v>
      </c>
      <c r="I18" s="24">
        <f t="shared" ref="I18" si="13">H18+1</f>
        <v>46113</v>
      </c>
      <c r="J18" s="24">
        <f t="shared" ref="J18" si="14">I18+1</f>
        <v>46114</v>
      </c>
      <c r="K18" s="2"/>
      <c r="L18" s="2"/>
      <c r="M18" s="2"/>
    </row>
    <row r="19" spans="1:14" ht="60" customHeight="1">
      <c r="A19" s="17"/>
      <c r="B19" s="42" t="s">
        <v>2</v>
      </c>
      <c r="C19" s="43" t="s">
        <v>3</v>
      </c>
      <c r="D19" s="42" t="s">
        <v>4</v>
      </c>
      <c r="E19" s="42" t="s">
        <v>5</v>
      </c>
      <c r="F19" s="42" t="s">
        <v>6</v>
      </c>
      <c r="G19" s="42" t="s">
        <v>7</v>
      </c>
      <c r="H19" s="42" t="s">
        <v>8</v>
      </c>
      <c r="I19" s="42" t="s">
        <v>9</v>
      </c>
      <c r="J19" s="42" t="s">
        <v>10</v>
      </c>
      <c r="K19" s="47" t="s">
        <v>11</v>
      </c>
      <c r="L19" s="47" t="s">
        <v>12</v>
      </c>
      <c r="M19" s="47" t="s">
        <v>13</v>
      </c>
    </row>
    <row r="20" spans="1:14" ht="60" customHeight="1">
      <c r="A20" s="2"/>
      <c r="B20" s="69" t="s">
        <v>14</v>
      </c>
      <c r="C20" s="37"/>
      <c r="D20" s="48"/>
      <c r="E20" s="48" t="s">
        <v>23</v>
      </c>
      <c r="F20" s="48"/>
      <c r="G20" s="48" t="s">
        <v>24</v>
      </c>
      <c r="H20" s="48" t="s">
        <v>25</v>
      </c>
      <c r="I20" s="48"/>
      <c r="J20" s="48"/>
      <c r="K20" s="50">
        <f t="shared" ref="K20:K22" si="15">K6</f>
        <v>20.010000000000002</v>
      </c>
      <c r="L20" s="49">
        <v>3</v>
      </c>
      <c r="M20" s="50">
        <f>SUM(K20*L20)</f>
        <v>60.03</v>
      </c>
    </row>
    <row r="21" spans="1:14" ht="60" customHeight="1">
      <c r="A21" s="2"/>
      <c r="B21" s="69" t="s">
        <v>16</v>
      </c>
      <c r="C21" s="37"/>
      <c r="D21" s="48" t="s">
        <v>26</v>
      </c>
      <c r="E21" s="48"/>
      <c r="F21" s="48" t="s">
        <v>27</v>
      </c>
      <c r="G21" s="48" t="s">
        <v>28</v>
      </c>
      <c r="H21" s="48" t="s">
        <v>29</v>
      </c>
      <c r="I21" s="48"/>
      <c r="J21" s="48"/>
      <c r="K21" s="50">
        <f t="shared" si="15"/>
        <v>20</v>
      </c>
      <c r="L21" s="49">
        <v>4</v>
      </c>
      <c r="M21" s="50">
        <f>SUM(K21*L21)</f>
        <v>80</v>
      </c>
    </row>
    <row r="22" spans="1:14" ht="60" customHeight="1">
      <c r="A22" s="2"/>
      <c r="B22" s="69" t="s">
        <v>18</v>
      </c>
      <c r="C22" s="37"/>
      <c r="D22" s="48" t="s">
        <v>30</v>
      </c>
      <c r="E22" s="48"/>
      <c r="F22" s="48" t="s">
        <v>31</v>
      </c>
      <c r="G22" s="48" t="s">
        <v>32</v>
      </c>
      <c r="H22" s="48" t="s">
        <v>29</v>
      </c>
      <c r="I22" s="48"/>
      <c r="J22" s="48"/>
      <c r="K22" s="50">
        <f t="shared" si="15"/>
        <v>20</v>
      </c>
      <c r="L22" s="49">
        <v>4</v>
      </c>
      <c r="M22" s="50">
        <f>SUM(K22*L22)</f>
        <v>80</v>
      </c>
    </row>
    <row r="23" spans="1:14" ht="60" customHeight="1">
      <c r="A23" s="59"/>
      <c r="B23" s="58" t="s">
        <v>20</v>
      </c>
      <c r="C23" s="60"/>
      <c r="D23" s="61"/>
      <c r="E23" s="62"/>
      <c r="F23" s="62"/>
      <c r="G23" s="63"/>
      <c r="H23" s="63"/>
      <c r="I23" s="64"/>
      <c r="J23" s="63"/>
      <c r="K23" s="55">
        <f>SUM(K20:K22)</f>
        <v>60.010000000000005</v>
      </c>
      <c r="L23" s="65">
        <f>SUM(L20:L22)</f>
        <v>11</v>
      </c>
      <c r="M23" s="66">
        <f>SUM(M20:M22)</f>
        <v>220.03</v>
      </c>
      <c r="N23" s="57"/>
    </row>
  </sheetData>
  <mergeCells count="2">
    <mergeCell ref="I2:J2"/>
    <mergeCell ref="B10:D10"/>
  </mergeCells>
  <dataValidations count="9">
    <dataValidation allowBlank="1" showInputMessage="1" showErrorMessage="1" prompt="Track Weekly Tasks in this Weekly Task Schedule worksheet. Add tasks in Task List worksheet to automatically update the schedule. Select cell I2 to navigate to Task List worksheet." sqref="A1" xr:uid="{00000000-0002-0000-0000-000000000000}"/>
    <dataValidation allowBlank="1" showInputMessage="1" showErrorMessage="1" prompt="Title of the worksheet is in this cell. Enter Schedule Start Date in cell B4." sqref="B2" xr:uid="{00000000-0002-0000-0000-000002000000}"/>
    <dataValidation allowBlank="1" showInputMessage="1" showErrorMessage="1" prompt="Enter Schedule Start Date in cell at right" sqref="C11" xr:uid="{00000000-0002-0000-0000-000003000000}"/>
    <dataValidation allowBlank="1" showInputMessage="1" showErrorMessage="1" prompt="Enter Schedule Start Date in this cell. Task Schedule table will automatically update for the week starting at this date." sqref="E10" xr:uid="{00000000-0002-0000-0000-000004000000}"/>
    <dataValidation allowBlank="1" showInputMessage="1" showErrorMessage="1" prompt="Enter a category name for this task schedule in this cell." sqref="B5 B13 B19" xr:uid="{00000000-0002-0000-0000-000006000000}"/>
    <dataValidation allowBlank="1" showInputMessage="1" showErrorMessage="1" prompt="Cells D5 to J5 contain weekdays. The starting day of the week in this cell is automatically updated based on Schedule Start Date. To change this weekday, enter new date in cell E14." sqref="D5 D13 D19" xr:uid="{00000000-0002-0000-0000-000007000000}"/>
    <dataValidation allowBlank="1" showInputMessage="1" showErrorMessage="1" prompt="Link to go to the task list worksheet is in this cell." sqref="I2:J2" xr:uid="{8FC8621E-A5B5-4870-AD65-F18379B4F64A}"/>
    <dataValidation allowBlank="1" showInputMessage="1" showErrorMessage="1" prompt="Start Date Year from cell E14. Enter Class titles in this column under this heading. Corresponding tasks are automatically updated from Task List worksheet." sqref="B4 B12 B18" xr:uid="{26F72F5B-DA0F-46DF-9A34-19B56D566A6E}"/>
    <dataValidation allowBlank="1" showInputMessage="1" showErrorMessage="1" prompt="Enter Schedule Start Date in cell at right." sqref="B10:D10" xr:uid="{F900DDFD-C0CC-4F1C-B3B4-93063404F590}"/>
  </dataValidations>
  <printOptions horizontalCentered="1" verticalCentered="1"/>
  <pageMargins left="0.25" right="0.25" top="0.75" bottom="0.75" header="0.3" footer="0.3"/>
  <pageSetup scale="64" fitToHeight="0" orientation="landscape" r:id="rId1"/>
  <headerFooter differentFirst="1">
    <oddFooter>Page &amp;P of &amp;N</oddFooter>
  </headerFooter>
  <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A1:J15"/>
  <sheetViews>
    <sheetView showGridLines="0" zoomScaleNormal="100" workbookViewId="0">
      <selection activeCell="D2" sqref="D2:E2"/>
    </sheetView>
  </sheetViews>
  <sheetFormatPr defaultRowHeight="30" customHeight="1"/>
  <cols>
    <col min="1" max="1" width="5.25" customWidth="1"/>
    <col min="2" max="3" width="18.625" customWidth="1"/>
    <col min="4" max="4" width="54.625" customWidth="1"/>
    <col min="5" max="5" width="1.625" customWidth="1"/>
    <col min="6" max="6" width="5.25" customWidth="1"/>
  </cols>
  <sheetData>
    <row r="1" spans="1:10" ht="19.899999999999999" customHeight="1">
      <c r="A1" s="5"/>
      <c r="B1" s="28"/>
      <c r="C1" s="5"/>
      <c r="D1" s="5"/>
      <c r="E1" s="5"/>
      <c r="F1" s="5"/>
    </row>
    <row r="2" spans="1:10" ht="49.9" customHeight="1">
      <c r="A2" s="8"/>
      <c r="B2" s="34" t="s">
        <v>33</v>
      </c>
      <c r="C2" s="35"/>
      <c r="D2" s="73" t="s">
        <v>34</v>
      </c>
      <c r="E2" s="73"/>
      <c r="F2" s="5"/>
    </row>
    <row r="3" spans="1:10" ht="19.899999999999999" customHeight="1">
      <c r="A3" s="5"/>
      <c r="B3" s="44"/>
      <c r="C3" s="36"/>
      <c r="D3" s="45"/>
      <c r="E3" s="45"/>
      <c r="F3" s="5"/>
    </row>
    <row r="4" spans="1:10" ht="25.15" customHeight="1">
      <c r="A4" s="5"/>
      <c r="B4" s="42" t="s">
        <v>35</v>
      </c>
      <c r="C4" s="42" t="s">
        <v>36</v>
      </c>
      <c r="D4" s="42" t="s">
        <v>37</v>
      </c>
      <c r="E4" s="46" t="s">
        <v>38</v>
      </c>
      <c r="F4" s="5"/>
    </row>
    <row r="5" spans="1:10" ht="49.9" customHeight="1">
      <c r="A5" s="5"/>
      <c r="B5" s="39">
        <f ca="1">TODAY()</f>
        <v>46112</v>
      </c>
      <c r="C5" s="40" t="s">
        <v>14</v>
      </c>
      <c r="D5" s="40" t="s">
        <v>39</v>
      </c>
      <c r="E5" s="41" t="str">
        <f ca="1">TaskList[[#This Row],[Date]]&amp;TaskList[[#This Row],[Person(s)]]</f>
        <v>46112Gabriel Goeken</v>
      </c>
      <c r="F5" s="5"/>
    </row>
    <row r="6" spans="1:10" ht="49.9" customHeight="1">
      <c r="A6" s="5"/>
      <c r="B6" s="39">
        <f ca="1">TODAY()+1</f>
        <v>46113</v>
      </c>
      <c r="C6" s="40"/>
      <c r="D6" s="40"/>
      <c r="E6" s="41" t="str">
        <f ca="1">TaskList[[#This Row],[Date]]&amp;TaskList[[#This Row],[Person(s)]]</f>
        <v>46113</v>
      </c>
      <c r="F6" s="5"/>
    </row>
    <row r="7" spans="1:10" ht="49.9" customHeight="1">
      <c r="A7" s="5"/>
      <c r="B7" s="39">
        <f ca="1">TODAY()+2</f>
        <v>46114</v>
      </c>
      <c r="C7" s="40"/>
      <c r="D7" s="40"/>
      <c r="E7" s="41" t="str">
        <f ca="1">TaskList[[#This Row],[Date]]&amp;TaskList[[#This Row],[Person(s)]]</f>
        <v>46114</v>
      </c>
      <c r="F7" s="5"/>
    </row>
    <row r="8" spans="1:10" ht="49.9" customHeight="1">
      <c r="A8" s="5"/>
      <c r="B8" s="39">
        <f ca="1">TODAY()+3</f>
        <v>46115</v>
      </c>
      <c r="C8" s="40"/>
      <c r="D8" s="40"/>
      <c r="E8" s="41" t="str">
        <f ca="1">TaskList[[#This Row],[Date]]&amp;TaskList[[#This Row],[Person(s)]]</f>
        <v>46115</v>
      </c>
      <c r="F8" s="5"/>
    </row>
    <row r="9" spans="1:10" ht="49.9" customHeight="1">
      <c r="A9" s="5"/>
      <c r="B9" s="39">
        <f ca="1">TODAY()+4</f>
        <v>46116</v>
      </c>
      <c r="C9" s="40"/>
      <c r="D9" s="40"/>
      <c r="E9" s="41" t="str">
        <f ca="1">TaskList[[#This Row],[Date]]&amp;TaskList[[#This Row],[Person(s)]]</f>
        <v>46116</v>
      </c>
      <c r="F9" s="5"/>
    </row>
    <row r="10" spans="1:10" ht="49.9" customHeight="1">
      <c r="A10" s="5"/>
      <c r="B10" s="39">
        <f ca="1">TODAY()+4</f>
        <v>46116</v>
      </c>
      <c r="C10" s="40"/>
      <c r="D10" s="40"/>
      <c r="E10" s="41" t="str">
        <f ca="1">TaskList[[#This Row],[Date]]&amp;TaskList[[#This Row],[Person(s)]]</f>
        <v>46116</v>
      </c>
      <c r="F10" s="5"/>
    </row>
    <row r="11" spans="1:10" ht="49.9" customHeight="1">
      <c r="A11" s="5"/>
      <c r="B11" s="39">
        <f ca="1">TODAY()+5</f>
        <v>46117</v>
      </c>
      <c r="C11" s="40"/>
      <c r="D11" s="40"/>
      <c r="E11" s="41" t="str">
        <f ca="1">TaskList[[#This Row],[Date]]&amp;TaskList[[#This Row],[Person(s)]]</f>
        <v>46117</v>
      </c>
      <c r="F11" s="5"/>
    </row>
    <row r="12" spans="1:10" ht="49.9" customHeight="1">
      <c r="A12" s="5"/>
      <c r="B12" s="39">
        <f ca="1">TODAY()+5</f>
        <v>46117</v>
      </c>
      <c r="C12" s="40"/>
      <c r="D12" s="40"/>
      <c r="E12" s="41" t="str">
        <f ca="1">TaskList[[#This Row],[Date]]&amp;TaskList[[#This Row],[Person(s)]]</f>
        <v>46117</v>
      </c>
      <c r="F12" s="5"/>
    </row>
    <row r="13" spans="1:10" ht="49.9" customHeight="1">
      <c r="A13" s="5"/>
      <c r="B13" s="39">
        <f ca="1">TODAY()+6</f>
        <v>46118</v>
      </c>
      <c r="C13" s="40"/>
      <c r="D13" s="40"/>
      <c r="E13" s="41" t="str">
        <f ca="1">TaskList[[#This Row],[Date]]&amp;TaskList[[#This Row],[Person(s)]]</f>
        <v>46118</v>
      </c>
      <c r="F13" s="5"/>
    </row>
    <row r="14" spans="1:10" ht="3.6" customHeight="1">
      <c r="A14" s="7"/>
      <c r="B14" s="29"/>
      <c r="C14" s="30"/>
      <c r="D14" s="31"/>
      <c r="E14" s="38"/>
      <c r="F14" s="32"/>
      <c r="G14" s="33"/>
      <c r="H14" s="33"/>
      <c r="I14" s="33"/>
      <c r="J14" s="33"/>
    </row>
    <row r="15" spans="1:10" ht="30" customHeight="1">
      <c r="A15" s="5"/>
      <c r="B15" s="5"/>
      <c r="C15" s="5"/>
      <c r="D15" s="5"/>
      <c r="E15" s="5"/>
      <c r="F15" s="5"/>
    </row>
  </sheetData>
  <dataConsolidate/>
  <mergeCells count="1">
    <mergeCell ref="D2:E2"/>
  </mergeCells>
  <dataValidations count="7">
    <dataValidation allowBlank="1" showInputMessage="1" showErrorMessage="1" prompt="Create Task List in this worksheet. Tasks will automatically update in Weekly Task Schedule table. Select D2 to navigate back to Weekly Task Schedule worksheet." sqref="A1" xr:uid="{00000000-0002-0000-0100-000000000000}"/>
    <dataValidation allowBlank="1" showInputMessage="1" showErrorMessage="1" prompt="Enter date in this column under this heading. " sqref="B4" xr:uid="{00000000-0002-0000-0100-000003000000}"/>
    <dataValidation allowBlank="1" showInputMessage="1" showErrorMessage="1" prompt="Select Class in this column under this heading. Class list is updated from Task Schedule table column B. Press ALT+DOWN arrow to open drop down list, then ENTER to make selection." sqref="C4" xr:uid="{00000000-0002-0000-0100-000004000000}"/>
    <dataValidation allowBlank="1" showInputMessage="1" showErrorMessage="1" prompt="Enter Assignment or Task for the corresponding class in column C, in this column under this heading." sqref="D4" xr:uid="{00000000-0002-0000-0100-000005000000}"/>
    <dataValidation type="list" errorStyle="warning" allowBlank="1" showInputMessage="1" showErrorMessage="1" error="Entry doesn't match items in the list. Select No, then press ALT+DOWN ARROW and ENTER to select a new entry, CANCEL to clear the selection" sqref="C5:C13" xr:uid="{00000000-0002-0000-0100-000006000000}">
      <formula1>Classes</formula1>
    </dataValidation>
    <dataValidation allowBlank="1" showInputMessage="1" showErrorMessage="1" prompt="Title of the worksheet is in this cell. Enter task details in table below." sqref="B2" xr:uid="{8A1C3964-6743-4E4F-83EE-B9D3897B74F4}"/>
    <dataValidation allowBlank="1" showInputMessage="1" showErrorMessage="1" prompt="Navigation link to Task List worksheet." sqref="D2:E2" xr:uid="{9BFCEBC6-70C0-4A2B-82E2-2A9CDDF66406}"/>
  </dataValidations>
  <hyperlinks>
    <hyperlink ref="D2" location="'Task List'!A1" tooltip="Select to view Task List worksheet" display="To Task List" xr:uid="{3829A90B-9058-4EC8-B221-D13A52EBD7BC}"/>
    <hyperlink ref="D2:E2" location="'Weekly task schedule'!A1" tooltip="Select to view Task List worksheet" display="Go to weekly task schedule" xr:uid="{3C66F12E-80F9-43EF-ADAC-0DEEBE323A5B}"/>
  </hyperlinks>
  <printOptions horizontalCentered="1"/>
  <pageMargins left="0.7" right="0.7" top="0.75" bottom="0.75" header="0.3" footer="0.3"/>
  <pageSetup scale="76" fitToHeight="0" orientation="portrait" r:id="rId1"/>
  <headerFooter differentFirst="1">
    <oddFoote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81F9121F-6675-4139-A811-700FC5E712CE}"/>
</file>

<file path=customXml/itemProps2.xml><?xml version="1.0" encoding="utf-8"?>
<ds:datastoreItem xmlns:ds="http://schemas.openxmlformats.org/officeDocument/2006/customXml" ds:itemID="{9354FA0B-0CB9-4D4F-BE80-11D807E1031C}"/>
</file>

<file path=customXml/itemProps3.xml><?xml version="1.0" encoding="utf-8"?>
<ds:datastoreItem xmlns:ds="http://schemas.openxmlformats.org/officeDocument/2006/customXml" ds:itemID="{162366CF-C3A1-4AE4-8136-91B13AFB1F44}"/>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TM00000010</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Gabriel Goeken</cp:lastModifiedBy>
  <cp:revision/>
  <dcterms:created xsi:type="dcterms:W3CDTF">2026-03-13T17:52:32Z</dcterms:created>
  <dcterms:modified xsi:type="dcterms:W3CDTF">2026-03-31T16:47:42Z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